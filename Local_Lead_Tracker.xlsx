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'Leads'!$A$2:$AC$52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dd\-mmm\-yyyy"/>
    <numFmt numFmtId="166" formatCode="0;\-0;\-"/>
    <numFmt numFmtId="167" formatCode="0%;\-0%;\-"/>
    <numFmt numFmtId="168" formatCode="0.0;\-0.0;\-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6"/>
    </font>
    <font>
      <name val="Arial"/>
      <charset val="1"/>
      <family val="0"/>
      <i val="1"/>
      <color rgb="FF404040"/>
      <sz val="10"/>
    </font>
    <font>
      <name val="Arial"/>
      <charset val="1"/>
      <family val="0"/>
      <b val="1"/>
      <color rgb="FF000000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1"/>
    </font>
    <font>
      <name val="Arial"/>
      <family val="2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</fonts>
  <fills count="13">
    <fill>
      <patternFill/>
    </fill>
    <fill>
      <patternFill patternType="gray125"/>
    </fill>
    <fill>
      <patternFill patternType="solid">
        <fgColor rgb="FFDD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8CBAD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4E79"/>
        <bgColor rgb="FF003366"/>
      </patternFill>
    </fill>
    <fill>
      <patternFill patternType="solid">
        <fgColor rgb="FF7B3F00"/>
        <bgColor rgb="FF9C5700"/>
      </patternFill>
    </fill>
    <fill>
      <patternFill patternType="solid">
        <fgColor rgb="FF375623"/>
        <bgColor rgb="FF404040"/>
      </patternFill>
    </fill>
    <fill>
      <patternFill patternType="solid">
        <fgColor rgb="FFD9E1F2"/>
        <bgColor rgb="FFDDEBF7"/>
      </patternFill>
    </fill>
    <fill>
      <patternFill patternType="solid">
        <fgColor rgb="FF404040"/>
        <bgColor rgb="FF375623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1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/>
    </xf>
    <xf numFmtId="49" fontId="8" fillId="0" borderId="1" applyAlignment="1" pivotButton="0" quotePrefix="0" xfId="0">
      <alignment horizontal="general" vertical="top"/>
    </xf>
    <xf numFmtId="164" fontId="8" fillId="0" borderId="1" applyAlignment="1" pivotButton="0" quotePrefix="0" xfId="0">
      <alignment horizontal="center" vertical="top" wrapText="1"/>
    </xf>
    <xf numFmtId="3" fontId="8" fillId="0" borderId="1" applyAlignment="1" pivotButton="0" quotePrefix="0" xfId="0">
      <alignment horizontal="center" vertical="top" wrapText="1"/>
    </xf>
    <xf numFmtId="165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general" vertical="top"/>
    </xf>
    <xf numFmtId="0" fontId="8" fillId="0" borderId="2" applyAlignment="1" pivotButton="0" quotePrefix="0" xfId="0">
      <alignment horizontal="general" vertical="top" wrapText="1"/>
    </xf>
    <xf numFmtId="49" fontId="8" fillId="0" borderId="2" applyAlignment="1" pivotButton="0" quotePrefix="0" xfId="0">
      <alignment horizontal="general" vertical="top"/>
    </xf>
    <xf numFmtId="164" fontId="8" fillId="0" borderId="2" applyAlignment="1" pivotButton="0" quotePrefix="0" xfId="0">
      <alignment horizontal="center" vertical="top" wrapText="1"/>
    </xf>
    <xf numFmtId="3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general" vertical="top"/>
    </xf>
    <xf numFmtId="0" fontId="8" fillId="0" borderId="2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general" vertical="top" wrapText="1"/>
    </xf>
    <xf numFmtId="0" fontId="7" fillId="6" borderId="2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bottom"/>
    </xf>
    <xf numFmtId="166" fontId="8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center" vertical="bottom"/>
    </xf>
    <xf numFmtId="168" fontId="8" fillId="0" borderId="1" applyAlignment="1" pivotButton="0" quotePrefix="0" xfId="0">
      <alignment horizontal="center" vertical="bottom"/>
    </xf>
    <xf numFmtId="0" fontId="7" fillId="11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center" vertical="bottom"/>
    </xf>
    <xf numFmtId="166" fontId="7" fillId="11" borderId="1" applyAlignment="1" pivotButton="0" quotePrefix="0" xfId="0">
      <alignment horizontal="center" vertical="bottom"/>
    </xf>
    <xf numFmtId="167" fontId="7" fillId="11" borderId="1" applyAlignment="1" pivotButton="0" quotePrefix="0" xfId="0">
      <alignment horizontal="center" vertical="bottom"/>
    </xf>
    <xf numFmtId="168" fontId="7" fillId="11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4" fillId="7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7" fillId="7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/>
    </xf>
    <xf numFmtId="49" fontId="8" fillId="0" borderId="1" applyAlignment="1" pivotButton="0" quotePrefix="0" xfId="0">
      <alignment horizontal="general" vertical="top"/>
    </xf>
    <xf numFmtId="164" fontId="8" fillId="0" borderId="1" applyAlignment="1" pivotButton="0" quotePrefix="0" xfId="0">
      <alignment horizontal="center" vertical="top" wrapText="1"/>
    </xf>
    <xf numFmtId="3" fontId="8" fillId="0" borderId="1" applyAlignment="1" pivotButton="0" quotePrefix="0" xfId="0">
      <alignment horizontal="center" vertical="top" wrapText="1"/>
    </xf>
    <xf numFmtId="165" fontId="8" fillId="0" borderId="1" applyAlignment="1" pivotButton="0" quotePrefix="0" xfId="0">
      <alignment horizontal="general" vertical="top"/>
    </xf>
    <xf numFmtId="0" fontId="8" fillId="0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general" vertical="top"/>
    </xf>
    <xf numFmtId="0" fontId="8" fillId="0" borderId="2" applyAlignment="1" pivotButton="0" quotePrefix="0" xfId="0">
      <alignment horizontal="general" vertical="top" wrapText="1"/>
    </xf>
    <xf numFmtId="49" fontId="8" fillId="0" borderId="2" applyAlignment="1" pivotButton="0" quotePrefix="0" xfId="0">
      <alignment horizontal="general" vertical="top"/>
    </xf>
    <xf numFmtId="164" fontId="8" fillId="0" borderId="2" applyAlignment="1" pivotButton="0" quotePrefix="0" xfId="0">
      <alignment horizontal="center" vertical="top" wrapText="1"/>
    </xf>
    <xf numFmtId="3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general" vertical="top"/>
    </xf>
    <xf numFmtId="0" fontId="8" fillId="0" borderId="2" applyAlignment="1" pivotButton="0" quotePrefix="0" xfId="0">
      <alignment horizontal="center" vertical="top" wrapText="1"/>
    </xf>
    <xf numFmtId="0" fontId="8" fillId="6" borderId="2" applyAlignment="1" pivotButton="0" quotePrefix="0" xfId="0">
      <alignment horizontal="general" vertical="top" wrapText="1"/>
    </xf>
    <xf numFmtId="0" fontId="7" fillId="6" borderId="2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center" vertical="bottom"/>
    </xf>
    <xf numFmtId="166" fontId="8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center" vertical="bottom"/>
    </xf>
    <xf numFmtId="168" fontId="8" fillId="0" borderId="1" applyAlignment="1" pivotButton="0" quotePrefix="0" xfId="0">
      <alignment horizontal="center" vertical="bottom"/>
    </xf>
    <xf numFmtId="0" fontId="7" fillId="11" borderId="1" applyAlignment="1" pivotButton="0" quotePrefix="0" xfId="0">
      <alignment horizontal="general" vertical="bottom"/>
    </xf>
    <xf numFmtId="0" fontId="7" fillId="11" borderId="1" applyAlignment="1" pivotButton="0" quotePrefix="0" xfId="0">
      <alignment horizontal="center" vertical="bottom"/>
    </xf>
    <xf numFmtId="166" fontId="7" fillId="11" borderId="1" applyAlignment="1" pivotButton="0" quotePrefix="0" xfId="0">
      <alignment horizontal="center" vertical="bottom"/>
    </xf>
    <xf numFmtId="167" fontId="7" fillId="11" borderId="1" applyAlignment="1" pivotButton="0" quotePrefix="0" xfId="0">
      <alignment horizontal="center" vertical="bottom"/>
    </xf>
    <xf numFmtId="168" fontId="7" fillId="11" borderId="1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14" fillId="7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 patternType="solid">
          <fgColor rgb="FFDDEBF7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strike val="1"/>
        <color rgb="FF9C0006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  <dxf>
      <font>
        <name val="Arial"/>
        <charset val="1"/>
        <family val="0"/>
        <i val="1"/>
        <color rgb="FF7F7F7F"/>
      </font>
    </dxf>
    <dxf>
      <font>
        <name val="Arial"/>
        <charset val="1"/>
        <family val="0"/>
        <b val="1"/>
        <color rgb="FF006100"/>
      </font>
    </dxf>
    <dxf>
      <font>
        <name val="Arial"/>
        <charset val="1"/>
        <family val="0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D9D9"/>
      <rgbColor rgb="FFFCE4D6"/>
      <rgbColor rgb="FFD9E1F2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7F7F7F"/>
      <rgbColor rgb="FF003366"/>
      <rgbColor rgb="FF339966"/>
      <rgbColor rgb="FF003300"/>
      <rgbColor rgb="FF375623"/>
      <rgbColor rgb="FF7B3F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Pre-filled. Do not change.</t>
      </text>
    </comment>
    <comment ref="B2" authorId="0" shapeId="0">
      <text>
        <t>MANDATORY. Pre-filled: 10 rows per niche.</t>
      </text>
    </comment>
    <comment ref="C2" authorId="0" shapeId="0">
      <text>
        <t>MANDATORY. Exactly as shown on Google Maps.</t>
      </text>
    </comment>
    <comment ref="D2" authorId="0" shapeId="0">
      <text>
        <t>MANDATORY. e.g. Salt Lake, Gariahat, New Town.</t>
      </text>
    </comment>
    <comment ref="E2" authorId="0" shapeId="0">
      <text>
        <t>MANDATORY. Share &gt; Copy link from the Maps listing.</t>
      </text>
    </comment>
    <comment ref="F2" authorId="0" shapeId="0">
      <text>
        <t>MANDATORY. From the Maps listing. Note if it is a WhatsApp number.</t>
      </text>
    </comment>
    <comment ref="G2" authorId="0" shapeId="0">
      <text>
        <t>MANDATORY. 1.0 to 5.0</t>
      </text>
    </comment>
    <comment ref="H2" authorId="0" shapeId="0">
      <text>
        <t>MANDATORY. Total Google review count.</t>
      </text>
    </comment>
    <comment ref="I2" authorId="0" shapeId="0">
      <text>
        <t>DD-MMM-YYYY</t>
      </text>
    </comment>
    <comment ref="J2" authorId="0" shapeId="0">
      <text>
        <t>Team member who found the lead.</t>
      </text>
    </comment>
    <comment ref="K2" authorId="0" shapeId="0">
      <text>
        <t>Leave blank if none. Links in the Maps listing or Instagram bio count.</t>
      </text>
    </comment>
    <comment ref="L2" authorId="0" shapeId="0">
      <text>
        <t>MANDATORY. None / Broken (does not load) / Outdated or Poor (old design, missing info, not mobile-friendly) / Basic (works but thin) / Good.</t>
      </text>
    </comment>
    <comment ref="M2" authorId="0" shapeId="0">
      <text>
        <t>MANDATORY. Open the site on your phone. If 'No', Website Status should be at best 'Outdated / Poor'.</t>
      </text>
    </comment>
    <comment ref="N2" authorId="0" shapeId="0">
      <text>
        <t>Business profile URL.</t>
      </text>
    </comment>
    <comment ref="O2" authorId="0" shapeId="0">
      <text>
        <t>MANDATORY. Active = posted in the last 30 days.</t>
      </text>
    </comment>
    <comment ref="P2" authorId="0" shapeId="0">
      <text>
        <t>MANDATORY. Is there a WhatsApp number on Maps, Instagram or the site?</t>
      </text>
    </comment>
    <comment ref="Q2" authorId="0" shapeId="0">
      <text>
        <t>MANDATORY. Can a customer book or enquire online without calling?</t>
      </text>
    </comment>
    <comment ref="R2" authorId="0" shapeId="0">
      <text>
        <t>Auto-filled from the niche. Tells you what this type of business needs online.</t>
      </text>
    </comment>
    <comment ref="S2" authorId="0" shapeId="0">
      <text>
        <t>MANDATORY. Does their current presence offer the must-have in the previous column?</t>
      </text>
    </comment>
    <comment ref="T2" authorId="0" shapeId="0">
      <text>
        <t>MANDATORY. Specific, observable gaps you will mention in your first message, e.g. '1) No website 2) Menu only as Instagram photos 3) No table booking'.</t>
      </text>
    </comment>
    <comment ref="U2" authorId="0" shapeId="0">
      <text>
        <t>Auto: shows Complete or how many audit fields are still blank.</t>
      </text>
    </comment>
    <comment ref="V2" authorId="0" shapeId="0">
      <text>
        <t>MANDATORY. Yes if typical bill / package is high (e.g. dental treatment, gym annual plan, bridal makeup).</t>
      </text>
    </comment>
    <comment ref="W2" authorId="0" shapeId="0">
      <text>
        <t>Owner / manager name if visible on Maps, Instagram, or from a call.</t>
      </text>
    </comment>
    <comment ref="X2" authorId="0" shapeId="0">
      <text>
        <t>MANDATORY. Yes if owner/manager is independent and contactable (not a corporate chain).</t>
      </text>
    </comment>
    <comment ref="Y2" authorId="0" shapeId="0">
      <text>
        <t>Auto-calculated. Rules on the Lists sheet.</t>
      </text>
    </comment>
    <comment ref="Z2" authorId="0" shapeId="0">
      <text>
        <t>Auto: Hot / Warm / Cold once the audit is complete.</t>
      </text>
    </comment>
    <comment ref="AA2" authorId="0" shapeId="0">
      <text>
        <t>MANDATORY. New &gt; Audited &gt; Qualified or Disqualified.</t>
      </text>
    </comment>
    <comment ref="AB2" authorId="0" shapeId="0">
      <text>
        <t>Required only when Stage = Disqualified.</t>
      </text>
    </comment>
    <comment ref="AC2" authorId="0" shapeId="0">
      <text>
        <t>Anything useful for outreach: best time to call, owner's name, observations.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B1:C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56" min="1" max="1"/>
    <col width="28" customWidth="1" style="56" min="2" max="2"/>
    <col width="95" customWidth="1" style="56" min="3" max="3"/>
  </cols>
  <sheetData>
    <row r="1" ht="19.7" customHeight="1" s="57">
      <c r="B1" s="58" t="inlineStr">
        <is>
          <t>Local Lead Tracker — Find · Audit · Qualify</t>
        </is>
      </c>
    </row>
    <row r="2" ht="30" customHeight="1" s="57">
      <c r="B2" s="59" t="inlineStr">
        <is>
          <t>Goal: 10 fully researched, audited and scored leads in each of 5 niches (50 total). Rows are pre-labelled by niche on the Leads sheet; just fill them in.</t>
        </is>
      </c>
    </row>
    <row r="4" ht="15" customHeight="1" s="57">
      <c r="B4" s="60" t="inlineStr">
        <is>
          <t>How to fill the Leads sheet</t>
        </is>
      </c>
    </row>
    <row r="5" ht="42" customHeight="1" s="57">
      <c r="B5" s="61" t="inlineStr">
        <is>
          <t>Step 1 · FIND (blue)</t>
        </is>
      </c>
      <c r="C5" s="62" t="inlineStr">
        <is>
          <t>Search Google Maps for one niche in one area at a time. Copy Business Name, Area, Maps link, Phone, Rating and Review count. Skip permanently-closed listings and big chains.</t>
        </is>
      </c>
    </row>
    <row r="6" ht="42" customHeight="1" s="57">
      <c r="B6" s="63" t="inlineStr">
        <is>
          <t>Step 2 · AUDIT (orange)</t>
        </is>
      </c>
      <c r="C6" s="62" t="inlineStr">
        <is>
          <t>Open their website on your phone, then their Instagram. Fill every orange * field. Use the 'Niche Must-Have' column as your checklist. Write the Top 3 Gaps as specific things you saw — these become your outreach message later.</t>
        </is>
      </c>
    </row>
    <row r="7" ht="27.75" customHeight="1" s="57">
      <c r="B7" s="64" t="inlineStr">
        <is>
          <t>Step 3 · QUALIFY (green)</t>
        </is>
      </c>
      <c r="C7" s="62" t="inlineStr">
        <is>
          <t>Answer High-Ticket and Decision-Maker. Score and Priority calculate themselves. Then set Stage: Qualified (Hot/Warm worth contacting) or Disqualified (pick a reason).</t>
        </is>
      </c>
    </row>
    <row r="9" ht="15" customHeight="1" s="57">
      <c r="B9" s="60" t="inlineStr">
        <is>
          <t>Colour legend</t>
        </is>
      </c>
    </row>
    <row r="10" ht="15" customHeight="1" s="57">
      <c r="B10" s="65" t="inlineStr">
        <is>
          <t>Header ending in *</t>
        </is>
      </c>
      <c r="C10" s="62" t="inlineStr">
        <is>
          <t>Mandatory field. Hover over any header for guidance.</t>
        </is>
      </c>
    </row>
    <row r="11" ht="15" customHeight="1" s="57">
      <c r="B11" s="66" t="inlineStr">
        <is>
          <t>Red cell</t>
        </is>
      </c>
      <c r="C11" s="62" t="inlineStr">
        <is>
          <t>A mandatory field is still blank for a lead you have started.</t>
        </is>
      </c>
    </row>
    <row r="12" ht="15" customHeight="1" s="57">
      <c r="B12" s="67" t="inlineStr">
        <is>
          <t>Grey cell</t>
        </is>
      </c>
      <c r="C12" s="62" t="inlineStr">
        <is>
          <t>Auto-calculated or pre-filled. Do not type here.</t>
        </is>
      </c>
    </row>
    <row r="13" ht="15" customHeight="1" s="57">
      <c r="B13" s="68" t="inlineStr">
        <is>
          <t>Blue number on yellow</t>
        </is>
      </c>
      <c r="C13" s="62" t="inlineStr">
        <is>
          <t>Editable assumption (scoring points and thresholds on the Lists sheet).</t>
        </is>
      </c>
    </row>
    <row r="15" ht="15" customHeight="1" s="57">
      <c r="B15" s="60" t="inlineStr">
        <is>
          <t>Opportunity Score (max 10)</t>
        </is>
      </c>
    </row>
    <row r="16" ht="15" customHeight="1" s="57">
      <c r="B16" s="65" t="inlineStr">
        <is>
          <t>Website</t>
        </is>
      </c>
      <c r="C16" s="62" t="inlineStr">
        <is>
          <t>None = 3 · Broken or Outdated / Poor = 2 · Basic = 1 · Good = 0</t>
        </is>
      </c>
    </row>
    <row r="17" ht="15" customHeight="1" s="57">
      <c r="B17" s="65" t="inlineStr">
        <is>
          <t>Demand</t>
        </is>
      </c>
      <c r="C17" s="62" t="inlineStr">
        <is>
          <t>100+ reviews = 1 · Rating 4.0+ = 1</t>
        </is>
      </c>
    </row>
    <row r="18" ht="15" customHeight="1" s="57">
      <c r="B18" s="65" t="inlineStr">
        <is>
          <t>Conversion gap</t>
        </is>
      </c>
      <c r="C18" s="62" t="inlineStr">
        <is>
          <t>No online booking / enquiry = 1</t>
        </is>
      </c>
    </row>
    <row r="19" ht="27.75" customHeight="1" s="57">
      <c r="B19" s="65" t="inlineStr">
        <is>
          <t>Reachability &amp; fit</t>
        </is>
      </c>
      <c r="C19" s="62" t="inlineStr">
        <is>
          <t>Active Instagram = 1 · WhatsApp available = 1 · High-ticket = 1 · Decision-maker reachable = 1</t>
        </is>
      </c>
    </row>
    <row r="20" ht="15" customHeight="1" s="57">
      <c r="B20" s="65" t="inlineStr">
        <is>
          <t>Priority</t>
        </is>
      </c>
      <c r="C20" s="62" t="inlineStr">
        <is>
          <t>Hot = 7–10 · Warm = 5–6 · Cold = 0–4 (shown only after the audit is complete)</t>
        </is>
      </c>
    </row>
    <row r="21" ht="30" customHeight="1" s="57">
      <c r="B21" s="59" t="inlineStr">
        <is>
          <t>The score is a prioritisation aid, not a prediction that they will buy. A 'Good' website usually means Disqualify unless you can name a specific improvement.</t>
        </is>
      </c>
    </row>
    <row r="23" ht="15" customHeight="1" s="57">
      <c r="B23" s="60" t="inlineStr">
        <is>
          <t>Google Maps search starters (change the area each session)</t>
        </is>
      </c>
    </row>
    <row r="24" ht="15" customHeight="1" s="57">
      <c r="B24" s="65" t="inlineStr">
        <is>
          <t>Salon / Beauty Parlour</t>
        </is>
      </c>
      <c r="C24" s="62" t="inlineStr">
        <is>
          <t>beauty parlour in Salt Lake · unisex salon Gariahat · bridal makeup salon Behala</t>
        </is>
      </c>
    </row>
    <row r="25" ht="15" customHeight="1" s="57">
      <c r="B25" s="65" t="inlineStr">
        <is>
          <t>Dental Clinic</t>
        </is>
      </c>
      <c r="C25" s="62" t="inlineStr">
        <is>
          <t>dental clinic New Town · dentist Ballygunge · orthodontist Dum Dum</t>
        </is>
      </c>
    </row>
    <row r="26" ht="15" customHeight="1" s="57">
      <c r="B26" s="65" t="inlineStr">
        <is>
          <t>Gym / Fitness Studio</t>
        </is>
      </c>
      <c r="C26" s="62" t="inlineStr">
        <is>
          <t>gym in Lake Town · fitness studio Tollygunge · CrossFit / yoga studio Kasba</t>
        </is>
      </c>
    </row>
    <row r="27" ht="15" customHeight="1" s="57">
      <c r="B27" s="65" t="inlineStr">
        <is>
          <t>Restaurant / Cafe</t>
        </is>
      </c>
      <c r="C27" s="62" t="inlineStr">
        <is>
          <t>cafe Park Street · family restaurant Behala · bakery cafe Salt Lake</t>
        </is>
      </c>
    </row>
    <row r="28" ht="15" customHeight="1" s="57">
      <c r="B28" s="65" t="inlineStr">
        <is>
          <t>Football Turf</t>
        </is>
      </c>
      <c r="C28" s="62" t="inlineStr">
        <is>
          <t>football turf Kolkata · 5-a-side turf New Town · box turf Rajarhat</t>
        </is>
      </c>
    </row>
    <row r="30" ht="15" customHeight="1" s="57">
      <c r="B30" s="60" t="inlineStr">
        <is>
          <t>Example of a completed row (fictional)</t>
        </is>
      </c>
    </row>
    <row r="31" ht="15" customHeight="1" s="57">
      <c r="B31" s="67" t="inlineStr">
        <is>
          <t>Lead ID / Niche</t>
        </is>
      </c>
      <c r="C31" s="62" t="inlineStr">
        <is>
          <t>SAL-01 · Salon / Beauty Parlour</t>
        </is>
      </c>
    </row>
    <row r="32" ht="15" customHeight="1" s="57">
      <c r="B32" s="67" t="inlineStr">
        <is>
          <t>Business / Area</t>
        </is>
      </c>
      <c r="C32" s="62" t="inlineStr">
        <is>
          <t>Glow Studio Unisex Salon (example) · Salt Lake Sector V</t>
        </is>
      </c>
    </row>
    <row r="33" ht="15" customHeight="1" s="57">
      <c r="B33" s="67" t="inlineStr">
        <is>
          <t>Maps link / Phone</t>
        </is>
      </c>
      <c r="C33" s="62" t="inlineStr">
        <is>
          <t>https://maps.app.goo.gl/xxxx · 98300 00000</t>
        </is>
      </c>
    </row>
    <row r="34" ht="15" customHeight="1" s="57">
      <c r="B34" s="67" t="inlineStr">
        <is>
          <t>Rating / Reviews</t>
        </is>
      </c>
      <c r="C34" s="62" t="inlineStr">
        <is>
          <t>4.6 · 412</t>
        </is>
      </c>
    </row>
    <row r="35" ht="15" customHeight="1" s="57">
      <c r="B35" s="67" t="inlineStr">
        <is>
          <t>Website / Status / Mobile</t>
        </is>
      </c>
      <c r="C35" s="62" t="inlineStr">
        <is>
          <t>(blank) · None · No website</t>
        </is>
      </c>
    </row>
    <row r="36" ht="15" customHeight="1" s="57">
      <c r="B36" s="67" t="inlineStr">
        <is>
          <t>Instagram / Activity</t>
        </is>
      </c>
      <c r="C36" s="62" t="inlineStr">
        <is>
          <t>instagram.com/glowstudio.example · Active</t>
        </is>
      </c>
    </row>
    <row r="37" ht="15" customHeight="1" s="57">
      <c r="B37" s="67" t="inlineStr">
        <is>
          <t>WhatsApp / Online booking</t>
        </is>
      </c>
      <c r="C37" s="62" t="inlineStr">
        <is>
          <t>Yes · No</t>
        </is>
      </c>
    </row>
    <row r="38" ht="15" customHeight="1" s="57">
      <c r="B38" s="67" t="inlineStr">
        <is>
          <t>Must-Have Present?</t>
        </is>
      </c>
      <c r="C38" s="62" t="inlineStr">
        <is>
          <t>No — prices only in Instagram highlights, booking by phone only</t>
        </is>
      </c>
    </row>
    <row r="39" ht="27.75" customHeight="1" s="57">
      <c r="B39" s="67" t="inlineStr">
        <is>
          <t>Top 3 Gaps</t>
        </is>
      </c>
      <c r="C39" s="62" t="inlineStr">
        <is>
          <t>1) No website  2) Price list scattered across Instagram stories  3) No way to book an appointment online</t>
        </is>
      </c>
    </row>
    <row r="40" ht="15" customHeight="1" s="57">
      <c r="B40" s="67" t="inlineStr">
        <is>
          <t>High-ticket / Decision-maker</t>
        </is>
      </c>
      <c r="C40" s="62" t="inlineStr">
        <is>
          <t>Yes (bridal packages) · Owner: Rina (from Instagram bio) · Reachable: Yes</t>
        </is>
      </c>
    </row>
    <row r="41" ht="15" customHeight="1" s="57">
      <c r="B41" s="67" t="inlineStr">
        <is>
          <t>Result</t>
        </is>
      </c>
      <c r="C41" s="62" t="inlineStr">
        <is>
          <t>Score 3+1+1+1+1+1+1+1 = 10 → Hot → Stage: Qualified</t>
        </is>
      </c>
    </row>
    <row r="43" ht="15" customHeight="1" s="57">
      <c r="B43" s="60" t="inlineStr">
        <is>
          <t>Daily rhythm suggestion</t>
        </is>
      </c>
    </row>
    <row r="44" ht="30" customHeight="1" s="57">
      <c r="B44" s="69" t="inlineStr">
        <is>
          <t>One niche per sitting: find 15 candidates on Maps → audit them → keep the best 10. Five sittings fills the whole sheet. Check the Dashboard at the end of each session.</t>
        </is>
      </c>
    </row>
  </sheetData>
  <mergeCells count="3">
    <mergeCell ref="B21:C21"/>
    <mergeCell ref="B44:C44"/>
    <mergeCell ref="B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AC52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56" min="1" max="1"/>
    <col width="20" customWidth="1" style="56" min="2" max="2"/>
    <col width="26" customWidth="1" style="56" min="3" max="3"/>
    <col width="16" customWidth="1" style="56" min="4" max="4"/>
    <col width="22" customWidth="1" style="56" min="5" max="5"/>
    <col width="14" customWidth="1" style="56" min="6" max="6"/>
    <col width="9" customWidth="1" style="56" min="7" max="7"/>
    <col width="10" customWidth="1" style="56" min="8" max="8"/>
    <col width="11" customWidth="1" style="56" min="9" max="9"/>
    <col width="12" customWidth="1" style="56" min="10" max="10"/>
    <col width="22" customWidth="1" style="56" min="11" max="11"/>
    <col width="14" customWidth="1" style="56" min="12" max="12"/>
    <col width="11" customWidth="1" style="56" min="13" max="13"/>
    <col width="22" customWidth="1" style="56" min="14" max="14"/>
    <col width="11" customWidth="1" style="56" min="15" max="16"/>
    <col width="12" customWidth="1" style="56" min="17" max="17"/>
    <col width="30" customWidth="1" style="56" min="18" max="18"/>
    <col width="11" customWidth="1" style="56" min="19" max="19"/>
    <col width="34" customWidth="1" style="56" min="20" max="20"/>
    <col width="11" customWidth="1" style="56" min="21" max="21"/>
    <col width="10" customWidth="1" style="56" min="22" max="22"/>
    <col width="20" customWidth="1" style="56" min="23" max="23"/>
    <col width="11" customWidth="1" style="56" min="24" max="25"/>
    <col width="12" customWidth="1" style="56" min="26" max="27"/>
    <col width="20" customWidth="1" style="56" min="28" max="28"/>
    <col width="30" customWidth="1" style="56" min="29" max="29"/>
  </cols>
  <sheetData>
    <row r="1" ht="21.75" customHeight="1" s="57">
      <c r="A1" s="70" t="inlineStr">
        <is>
          <t>STEP 1 · FIND  (from Google Maps)</t>
        </is>
      </c>
      <c r="K1" s="71" t="inlineStr">
        <is>
          <t>STEP 2 · AUDIT  (website, mobile, social, conversion path)</t>
        </is>
      </c>
      <c r="V1" s="72" t="inlineStr">
        <is>
          <t>STEP 3 · QUALIFY  (score &amp; decide)</t>
        </is>
      </c>
    </row>
    <row r="2" ht="48" customHeight="1" s="57">
      <c r="A2" s="73" t="inlineStr">
        <is>
          <t>Lead ID</t>
        </is>
      </c>
      <c r="B2" s="73" t="inlineStr">
        <is>
          <t>Niche *</t>
        </is>
      </c>
      <c r="C2" s="73" t="inlineStr">
        <is>
          <t>Business Name *</t>
        </is>
      </c>
      <c r="D2" s="73" t="inlineStr">
        <is>
          <t>Area / Locality *</t>
        </is>
      </c>
      <c r="E2" s="73" t="inlineStr">
        <is>
          <t>Google Maps Link *</t>
        </is>
      </c>
      <c r="F2" s="73" t="inlineStr">
        <is>
          <t>Phone *</t>
        </is>
      </c>
      <c r="G2" s="73" t="inlineStr">
        <is>
          <t>Google Rating *</t>
        </is>
      </c>
      <c r="H2" s="73" t="inlineStr">
        <is>
          <t>No. of Reviews *</t>
        </is>
      </c>
      <c r="I2" s="73" t="inlineStr">
        <is>
          <t>Date Added</t>
        </is>
      </c>
      <c r="J2" s="73" t="inlineStr">
        <is>
          <t>Researched By</t>
        </is>
      </c>
      <c r="K2" s="74" t="inlineStr">
        <is>
          <t>Website URL</t>
        </is>
      </c>
      <c r="L2" s="74" t="inlineStr">
        <is>
          <t>Website Status *</t>
        </is>
      </c>
      <c r="M2" s="74" t="inlineStr">
        <is>
          <t>Mobile Friendly *</t>
        </is>
      </c>
      <c r="N2" s="74" t="inlineStr">
        <is>
          <t>Instagram Link</t>
        </is>
      </c>
      <c r="O2" s="74" t="inlineStr">
        <is>
          <t>Instagram Activity *</t>
        </is>
      </c>
      <c r="P2" s="74" t="inlineStr">
        <is>
          <t>WhatsApp Available? *</t>
        </is>
      </c>
      <c r="Q2" s="74" t="inlineStr">
        <is>
          <t>Online Booking / Enquiry? *</t>
        </is>
      </c>
      <c r="R2" s="74" t="inlineStr">
        <is>
          <t>Niche Must-Have (check this)</t>
        </is>
      </c>
      <c r="S2" s="74" t="inlineStr">
        <is>
          <t>Must-Have Present? *</t>
        </is>
      </c>
      <c r="T2" s="74" t="inlineStr">
        <is>
          <t>Top 3 Gaps (for outreach) *</t>
        </is>
      </c>
      <c r="U2" s="74" t="inlineStr">
        <is>
          <t>Audit Status</t>
        </is>
      </c>
      <c r="V2" s="75" t="inlineStr">
        <is>
          <t>High-Ticket Service? *</t>
        </is>
      </c>
      <c r="W2" s="75" t="inlineStr">
        <is>
          <t>Decision-Maker Name / Role</t>
        </is>
      </c>
      <c r="X2" s="75" t="inlineStr">
        <is>
          <t>Decision-Maker Reachable? *</t>
        </is>
      </c>
      <c r="Y2" s="75" t="inlineStr">
        <is>
          <t>Opportunity Score (/10)</t>
        </is>
      </c>
      <c r="Z2" s="75" t="inlineStr">
        <is>
          <t>Priority</t>
        </is>
      </c>
      <c r="AA2" s="75" t="inlineStr">
        <is>
          <t>Stage *</t>
        </is>
      </c>
      <c r="AB2" s="75" t="inlineStr">
        <is>
          <t>Disqualify Reason</t>
        </is>
      </c>
      <c r="AC2" s="75" t="inlineStr">
        <is>
          <t>Notes</t>
        </is>
      </c>
    </row>
    <row r="3" ht="23.85" customHeight="1" s="57">
      <c r="A3" s="76" t="inlineStr">
        <is>
          <t>SAL-01</t>
        </is>
      </c>
      <c r="B3" s="77" t="inlineStr">
        <is>
          <t>Salon / Beauty Parlour</t>
        </is>
      </c>
      <c r="C3" s="62" t="inlineStr">
        <is>
          <t>Glow Studio Unisex Salon</t>
        </is>
      </c>
      <c r="D3" s="77" t="inlineStr">
        <is>
          <t>Salt Lake Sector V</t>
        </is>
      </c>
      <c r="E3" s="77" t="inlineStr">
        <is>
          <t>https://maps.app.goo.gl/xxxx</t>
        </is>
      </c>
      <c r="F3" s="78" t="inlineStr">
        <is>
          <t>98300 00000</t>
        </is>
      </c>
      <c r="G3" s="79" t="n">
        <v>4.6</v>
      </c>
      <c r="H3" s="80" t="n">
        <v>412</v>
      </c>
      <c r="I3" s="81" t="n">
        <v>46300</v>
      </c>
      <c r="J3" s="77" t="inlineStr">
        <is>
          <t>Nuba</t>
        </is>
      </c>
      <c r="K3" s="77" t="n"/>
      <c r="L3" s="82" t="inlineStr">
        <is>
          <t>None</t>
        </is>
      </c>
      <c r="M3" s="82" t="inlineStr">
        <is>
          <t>No website</t>
        </is>
      </c>
      <c r="N3" s="77" t="inlineStr">
        <is>
          <t>glowstudio</t>
        </is>
      </c>
      <c r="O3" s="82" t="inlineStr">
        <is>
          <t>Active</t>
        </is>
      </c>
      <c r="P3" s="82" t="inlineStr">
        <is>
          <t>Yes</t>
        </is>
      </c>
      <c r="Q3" s="82" t="inlineStr">
        <is>
          <t>No</t>
        </is>
      </c>
      <c r="R3" s="83">
        <f>IF(B3="","",IFERROR(INDEX(Lists!$B$2:$B$6,MATCH(B3,Lists!$A$2:$A$6,0)),""))</f>
        <v/>
      </c>
      <c r="S3" s="82" t="n"/>
      <c r="T3" s="62" t="inlineStr">
        <is>
          <t>1) no website 2) scattered prices 3) can't book online</t>
        </is>
      </c>
      <c r="U3" s="76">
        <f>IF(C3="","",IF((L3="")+(M3="")+(O3="")+(P3="")+(Q3="")+(S3="")+(T3="")=0,"Complete",(L3="")+(M3="")+(O3="")+(P3="")+(Q3="")+(S3="")+(T3="")&amp;" missing"))</f>
        <v/>
      </c>
      <c r="V3" s="82" t="n"/>
      <c r="W3" s="77" t="n"/>
      <c r="X3" s="82" t="n"/>
      <c r="Y3" s="84">
        <f>IF(C3="","",IF(L3="None",Lists!$M$2,IF(OR(L3="Broken",L3="Outdated / Poor"),Lists!$M$3,IF(L3="Basic",Lists!$M$4,0)))+IF(N(H3)&gt;=Lists!$M$12,Lists!$M$5,0)+IF(N(G3)&gt;=Lists!$M$13,Lists!$M$6,0)+IF(Q3="No",Lists!$M$7,0)+IF(O3="Active",Lists!$M$8,0)+IF(P3="Yes",Lists!$M$9,0)+IF(V3="Yes",Lists!$M$10,0)+IF(X3="Yes",Lists!$M$11,0))</f>
        <v/>
      </c>
      <c r="Z3" s="84">
        <f>IF(C3="","",IF(U3&lt;&gt;"Complete","Audit pending",IF(Y3&gt;=Lists!$M$14,"Hot",IF(Y3&gt;=Lists!$M$15,"Warm","Cold"))))</f>
        <v/>
      </c>
      <c r="AA3" s="82" t="inlineStr">
        <is>
          <t>Audited</t>
        </is>
      </c>
      <c r="AB3" s="77" t="n"/>
      <c r="AC3" s="62" t="n"/>
    </row>
    <row r="4" ht="23.85" customHeight="1" s="57">
      <c r="A4" s="76" t="inlineStr">
        <is>
          <t>SAL-02</t>
        </is>
      </c>
      <c r="B4" s="77" t="inlineStr">
        <is>
          <t>Salon / Beauty Parlour</t>
        </is>
      </c>
      <c r="C4" s="62" t="n"/>
      <c r="D4" s="77" t="n"/>
      <c r="E4" s="77" t="n"/>
      <c r="F4" s="78" t="n"/>
      <c r="G4" s="79" t="n"/>
      <c r="H4" s="80" t="n"/>
      <c r="I4" s="81" t="n"/>
      <c r="J4" s="77" t="n"/>
      <c r="K4" s="77" t="n"/>
      <c r="L4" s="82" t="n"/>
      <c r="M4" s="82" t="n"/>
      <c r="N4" s="77" t="n"/>
      <c r="O4" s="82" t="n"/>
      <c r="P4" s="82" t="n"/>
      <c r="Q4" s="82" t="n"/>
      <c r="R4" s="83">
        <f>IF(B4="","",IFERROR(INDEX(Lists!$B$2:$B$6,MATCH(B4,Lists!$A$2:$A$6,0)),""))</f>
        <v/>
      </c>
      <c r="S4" s="82" t="n"/>
      <c r="T4" s="62" t="n"/>
      <c r="U4" s="76">
        <f>IF(C4="","",IF((L4="")+(M4="")+(O4="")+(P4="")+(Q4="")+(S4="")+(T4="")=0,"Complete",(L4="")+(M4="")+(O4="")+(P4="")+(Q4="")+(S4="")+(T4="")&amp;" missing"))</f>
        <v/>
      </c>
      <c r="V4" s="82" t="n"/>
      <c r="W4" s="77" t="n"/>
      <c r="X4" s="82" t="n"/>
      <c r="Y4" s="84">
        <f>IF(C4="","",IF(L4="None",Lists!$M$2,IF(OR(L4="Broken",L4="Outdated / Poor"),Lists!$M$3,IF(L4="Basic",Lists!$M$4,0)))+IF(N(H4)&gt;=Lists!$M$12,Lists!$M$5,0)+IF(N(G4)&gt;=Lists!$M$13,Lists!$M$6,0)+IF(Q4="No",Lists!$M$7,0)+IF(O4="Active",Lists!$M$8,0)+IF(P4="Yes",Lists!$M$9,0)+IF(V4="Yes",Lists!$M$10,0)+IF(X4="Yes",Lists!$M$11,0))</f>
        <v/>
      </c>
      <c r="Z4" s="84">
        <f>IF(C4="","",IF(U4&lt;&gt;"Complete","Audit pending",IF(Y4&gt;=Lists!$M$14,"Hot",IF(Y4&gt;=Lists!$M$15,"Warm","Cold"))))</f>
        <v/>
      </c>
      <c r="AA4" s="82" t="n"/>
      <c r="AB4" s="77" t="n"/>
      <c r="AC4" s="62" t="n"/>
    </row>
    <row r="5" ht="23.85" customHeight="1" s="57">
      <c r="A5" s="76" t="inlineStr">
        <is>
          <t>SAL-03</t>
        </is>
      </c>
      <c r="B5" s="77" t="inlineStr">
        <is>
          <t>Salon / Beauty Parlour</t>
        </is>
      </c>
      <c r="C5" s="62" t="n"/>
      <c r="D5" s="77" t="n"/>
      <c r="E5" s="77" t="n"/>
      <c r="F5" s="78" t="n"/>
      <c r="G5" s="79" t="n"/>
      <c r="H5" s="80" t="n"/>
      <c r="I5" s="81" t="n"/>
      <c r="J5" s="77" t="n"/>
      <c r="K5" s="77" t="n"/>
      <c r="L5" s="82" t="n"/>
      <c r="M5" s="82" t="n"/>
      <c r="N5" s="77" t="n"/>
      <c r="O5" s="82" t="n"/>
      <c r="P5" s="82" t="n"/>
      <c r="Q5" s="82" t="n"/>
      <c r="R5" s="83">
        <f>IF(B5="","",IFERROR(INDEX(Lists!$B$2:$B$6,MATCH(B5,Lists!$A$2:$A$6,0)),""))</f>
        <v/>
      </c>
      <c r="S5" s="82" t="n"/>
      <c r="T5" s="62" t="n"/>
      <c r="U5" s="76">
        <f>IF(C5="","",IF((L5="")+(M5="")+(O5="")+(P5="")+(Q5="")+(S5="")+(T5="")=0,"Complete",(L5="")+(M5="")+(O5="")+(P5="")+(Q5="")+(S5="")+(T5="")&amp;" missing"))</f>
        <v/>
      </c>
      <c r="V5" s="82" t="n"/>
      <c r="W5" s="77" t="n"/>
      <c r="X5" s="82" t="n"/>
      <c r="Y5" s="84">
        <f>IF(C5="","",IF(L5="None",Lists!$M$2,IF(OR(L5="Broken",L5="Outdated / Poor"),Lists!$M$3,IF(L5="Basic",Lists!$M$4,0)))+IF(N(H5)&gt;=Lists!$M$12,Lists!$M$5,0)+IF(N(G5)&gt;=Lists!$M$13,Lists!$M$6,0)+IF(Q5="No",Lists!$M$7,0)+IF(O5="Active",Lists!$M$8,0)+IF(P5="Yes",Lists!$M$9,0)+IF(V5="Yes",Lists!$M$10,0)+IF(X5="Yes",Lists!$M$11,0))</f>
        <v/>
      </c>
      <c r="Z5" s="84">
        <f>IF(C5="","",IF(U5&lt;&gt;"Complete","Audit pending",IF(Y5&gt;=Lists!$M$14,"Hot",IF(Y5&gt;=Lists!$M$15,"Warm","Cold"))))</f>
        <v/>
      </c>
      <c r="AA5" s="82" t="n"/>
      <c r="AB5" s="77" t="n"/>
      <c r="AC5" s="62" t="n"/>
    </row>
    <row r="6" ht="23.85" customHeight="1" s="57">
      <c r="A6" s="76" t="inlineStr">
        <is>
          <t>SAL-04</t>
        </is>
      </c>
      <c r="B6" s="77" t="inlineStr">
        <is>
          <t>Salon / Beauty Parlour</t>
        </is>
      </c>
      <c r="C6" s="62" t="n"/>
      <c r="D6" s="77" t="n"/>
      <c r="E6" s="77" t="n"/>
      <c r="F6" s="78" t="n"/>
      <c r="G6" s="79" t="n"/>
      <c r="H6" s="80" t="n"/>
      <c r="I6" s="81" t="n"/>
      <c r="J6" s="77" t="n"/>
      <c r="K6" s="77" t="n"/>
      <c r="L6" s="82" t="n"/>
      <c r="M6" s="82" t="n"/>
      <c r="N6" s="77" t="n"/>
      <c r="O6" s="82" t="n"/>
      <c r="P6" s="82" t="n"/>
      <c r="Q6" s="82" t="n"/>
      <c r="R6" s="83">
        <f>IF(B6="","",IFERROR(INDEX(Lists!$B$2:$B$6,MATCH(B6,Lists!$A$2:$A$6,0)),""))</f>
        <v/>
      </c>
      <c r="S6" s="82" t="n"/>
      <c r="T6" s="62" t="n"/>
      <c r="U6" s="76">
        <f>IF(C6="","",IF((L6="")+(M6="")+(O6="")+(P6="")+(Q6="")+(S6="")+(T6="")=0,"Complete",(L6="")+(M6="")+(O6="")+(P6="")+(Q6="")+(S6="")+(T6="")&amp;" missing"))</f>
        <v/>
      </c>
      <c r="V6" s="82" t="n"/>
      <c r="W6" s="77" t="n"/>
      <c r="X6" s="82" t="n"/>
      <c r="Y6" s="84">
        <f>IF(C6="","",IF(L6="None",Lists!$M$2,IF(OR(L6="Broken",L6="Outdated / Poor"),Lists!$M$3,IF(L6="Basic",Lists!$M$4,0)))+IF(N(H6)&gt;=Lists!$M$12,Lists!$M$5,0)+IF(N(G6)&gt;=Lists!$M$13,Lists!$M$6,0)+IF(Q6="No",Lists!$M$7,0)+IF(O6="Active",Lists!$M$8,0)+IF(P6="Yes",Lists!$M$9,0)+IF(V6="Yes",Lists!$M$10,0)+IF(X6="Yes",Lists!$M$11,0))</f>
        <v/>
      </c>
      <c r="Z6" s="84">
        <f>IF(C6="","",IF(U6&lt;&gt;"Complete","Audit pending",IF(Y6&gt;=Lists!$M$14,"Hot",IF(Y6&gt;=Lists!$M$15,"Warm","Cold"))))</f>
        <v/>
      </c>
      <c r="AA6" s="82" t="n"/>
      <c r="AB6" s="77" t="n"/>
      <c r="AC6" s="62" t="n"/>
    </row>
    <row r="7" ht="23.85" customHeight="1" s="57">
      <c r="A7" s="76" t="inlineStr">
        <is>
          <t>SAL-05</t>
        </is>
      </c>
      <c r="B7" s="77" t="inlineStr">
        <is>
          <t>Salon / Beauty Parlour</t>
        </is>
      </c>
      <c r="C7" s="62" t="n"/>
      <c r="D7" s="77" t="n"/>
      <c r="E7" s="77" t="n"/>
      <c r="F7" s="78" t="n"/>
      <c r="G7" s="79" t="n"/>
      <c r="H7" s="80" t="n"/>
      <c r="I7" s="81" t="n"/>
      <c r="J7" s="77" t="n"/>
      <c r="K7" s="77" t="n"/>
      <c r="L7" s="82" t="n"/>
      <c r="M7" s="82" t="n"/>
      <c r="N7" s="77" t="n"/>
      <c r="O7" s="82" t="n"/>
      <c r="P7" s="82" t="n"/>
      <c r="Q7" s="82" t="n"/>
      <c r="R7" s="83">
        <f>IF(B7="","",IFERROR(INDEX(Lists!$B$2:$B$6,MATCH(B7,Lists!$A$2:$A$6,0)),""))</f>
        <v/>
      </c>
      <c r="S7" s="82" t="n"/>
      <c r="T7" s="62" t="n"/>
      <c r="U7" s="76">
        <f>IF(C7="","",IF((L7="")+(M7="")+(O7="")+(P7="")+(Q7="")+(S7="")+(T7="")=0,"Complete",(L7="")+(M7="")+(O7="")+(P7="")+(Q7="")+(S7="")+(T7="")&amp;" missing"))</f>
        <v/>
      </c>
      <c r="V7" s="82" t="n"/>
      <c r="W7" s="77" t="n"/>
      <c r="X7" s="82" t="n"/>
      <c r="Y7" s="84">
        <f>IF(C7="","",IF(L7="None",Lists!$M$2,IF(OR(L7="Broken",L7="Outdated / Poor"),Lists!$M$3,IF(L7="Basic",Lists!$M$4,0)))+IF(N(H7)&gt;=Lists!$M$12,Lists!$M$5,0)+IF(N(G7)&gt;=Lists!$M$13,Lists!$M$6,0)+IF(Q7="No",Lists!$M$7,0)+IF(O7="Active",Lists!$M$8,0)+IF(P7="Yes",Lists!$M$9,0)+IF(V7="Yes",Lists!$M$10,0)+IF(X7="Yes",Lists!$M$11,0))</f>
        <v/>
      </c>
      <c r="Z7" s="84">
        <f>IF(C7="","",IF(U7&lt;&gt;"Complete","Audit pending",IF(Y7&gt;=Lists!$M$14,"Hot",IF(Y7&gt;=Lists!$M$15,"Warm","Cold"))))</f>
        <v/>
      </c>
      <c r="AA7" s="82" t="n"/>
      <c r="AB7" s="77" t="n"/>
      <c r="AC7" s="62" t="n"/>
    </row>
    <row r="8" ht="23.85" customHeight="1" s="57">
      <c r="A8" s="76" t="inlineStr">
        <is>
          <t>SAL-06</t>
        </is>
      </c>
      <c r="B8" s="77" t="inlineStr">
        <is>
          <t>Salon / Beauty Parlour</t>
        </is>
      </c>
      <c r="C8" s="62" t="n"/>
      <c r="D8" s="77" t="n"/>
      <c r="E8" s="77" t="n"/>
      <c r="F8" s="78" t="n"/>
      <c r="G8" s="79" t="n"/>
      <c r="H8" s="80" t="n"/>
      <c r="I8" s="81" t="n"/>
      <c r="J8" s="77" t="n"/>
      <c r="K8" s="77" t="n"/>
      <c r="L8" s="82" t="n"/>
      <c r="M8" s="82" t="n"/>
      <c r="N8" s="77" t="n"/>
      <c r="O8" s="82" t="n"/>
      <c r="P8" s="82" t="n"/>
      <c r="Q8" s="82" t="n"/>
      <c r="R8" s="83">
        <f>IF(B8="","",IFERROR(INDEX(Lists!$B$2:$B$6,MATCH(B8,Lists!$A$2:$A$6,0)),""))</f>
        <v/>
      </c>
      <c r="S8" s="82" t="n"/>
      <c r="T8" s="62" t="n"/>
      <c r="U8" s="76">
        <f>IF(C8="","",IF((L8="")+(M8="")+(O8="")+(P8="")+(Q8="")+(S8="")+(T8="")=0,"Complete",(L8="")+(M8="")+(O8="")+(P8="")+(Q8="")+(S8="")+(T8="")&amp;" missing"))</f>
        <v/>
      </c>
      <c r="V8" s="82" t="n"/>
      <c r="W8" s="77" t="n"/>
      <c r="X8" s="82" t="n"/>
      <c r="Y8" s="84">
        <f>IF(C8="","",IF(L8="None",Lists!$M$2,IF(OR(L8="Broken",L8="Outdated / Poor"),Lists!$M$3,IF(L8="Basic",Lists!$M$4,0)))+IF(N(H8)&gt;=Lists!$M$12,Lists!$M$5,0)+IF(N(G8)&gt;=Lists!$M$13,Lists!$M$6,0)+IF(Q8="No",Lists!$M$7,0)+IF(O8="Active",Lists!$M$8,0)+IF(P8="Yes",Lists!$M$9,0)+IF(V8="Yes",Lists!$M$10,0)+IF(X8="Yes",Lists!$M$11,0))</f>
        <v/>
      </c>
      <c r="Z8" s="84">
        <f>IF(C8="","",IF(U8&lt;&gt;"Complete","Audit pending",IF(Y8&gt;=Lists!$M$14,"Hot",IF(Y8&gt;=Lists!$M$15,"Warm","Cold"))))</f>
        <v/>
      </c>
      <c r="AA8" s="82" t="n"/>
      <c r="AB8" s="77" t="n"/>
      <c r="AC8" s="62" t="n"/>
    </row>
    <row r="9" ht="23.85" customHeight="1" s="57">
      <c r="A9" s="76" t="inlineStr">
        <is>
          <t>SAL-07</t>
        </is>
      </c>
      <c r="B9" s="77" t="inlineStr">
        <is>
          <t>Salon / Beauty Parlour</t>
        </is>
      </c>
      <c r="C9" s="62" t="n"/>
      <c r="D9" s="77" t="n"/>
      <c r="E9" s="77" t="n"/>
      <c r="F9" s="78" t="n"/>
      <c r="G9" s="79" t="n"/>
      <c r="H9" s="80" t="n"/>
      <c r="I9" s="81" t="n"/>
      <c r="J9" s="77" t="n"/>
      <c r="K9" s="77" t="n"/>
      <c r="L9" s="82" t="n"/>
      <c r="M9" s="82" t="n"/>
      <c r="N9" s="77" t="n"/>
      <c r="O9" s="82" t="n"/>
      <c r="P9" s="82" t="n"/>
      <c r="Q9" s="82" t="n"/>
      <c r="R9" s="83">
        <f>IF(B9="","",IFERROR(INDEX(Lists!$B$2:$B$6,MATCH(B9,Lists!$A$2:$A$6,0)),""))</f>
        <v/>
      </c>
      <c r="S9" s="82" t="n"/>
      <c r="T9" s="62" t="n"/>
      <c r="U9" s="76">
        <f>IF(C9="","",IF((L9="")+(M9="")+(O9="")+(P9="")+(Q9="")+(S9="")+(T9="")=0,"Complete",(L9="")+(M9="")+(O9="")+(P9="")+(Q9="")+(S9="")+(T9="")&amp;" missing"))</f>
        <v/>
      </c>
      <c r="V9" s="82" t="n"/>
      <c r="W9" s="77" t="n"/>
      <c r="X9" s="82" t="n"/>
      <c r="Y9" s="84">
        <f>IF(C9="","",IF(L9="None",Lists!$M$2,IF(OR(L9="Broken",L9="Outdated / Poor"),Lists!$M$3,IF(L9="Basic",Lists!$M$4,0)))+IF(N(H9)&gt;=Lists!$M$12,Lists!$M$5,0)+IF(N(G9)&gt;=Lists!$M$13,Lists!$M$6,0)+IF(Q9="No",Lists!$M$7,0)+IF(O9="Active",Lists!$M$8,0)+IF(P9="Yes",Lists!$M$9,0)+IF(V9="Yes",Lists!$M$10,0)+IF(X9="Yes",Lists!$M$11,0))</f>
        <v/>
      </c>
      <c r="Z9" s="84">
        <f>IF(C9="","",IF(U9&lt;&gt;"Complete","Audit pending",IF(Y9&gt;=Lists!$M$14,"Hot",IF(Y9&gt;=Lists!$M$15,"Warm","Cold"))))</f>
        <v/>
      </c>
      <c r="AA9" s="82" t="n"/>
      <c r="AB9" s="77" t="n"/>
      <c r="AC9" s="62" t="n"/>
    </row>
    <row r="10" ht="23.85" customHeight="1" s="57">
      <c r="A10" s="76" t="inlineStr">
        <is>
          <t>SAL-08</t>
        </is>
      </c>
      <c r="B10" s="77" t="inlineStr">
        <is>
          <t>Salon / Beauty Parlour</t>
        </is>
      </c>
      <c r="C10" s="62" t="n"/>
      <c r="D10" s="77" t="n"/>
      <c r="E10" s="77" t="n"/>
      <c r="F10" s="78" t="n"/>
      <c r="G10" s="79" t="n"/>
      <c r="H10" s="80" t="n"/>
      <c r="I10" s="81" t="n"/>
      <c r="J10" s="77" t="n"/>
      <c r="K10" s="77" t="n"/>
      <c r="L10" s="82" t="n"/>
      <c r="M10" s="82" t="n"/>
      <c r="N10" s="77" t="n"/>
      <c r="O10" s="82" t="n"/>
      <c r="P10" s="82" t="n"/>
      <c r="Q10" s="82" t="n"/>
      <c r="R10" s="83">
        <f>IF(B10="","",IFERROR(INDEX(Lists!$B$2:$B$6,MATCH(B10,Lists!$A$2:$A$6,0)),""))</f>
        <v/>
      </c>
      <c r="S10" s="82" t="n"/>
      <c r="T10" s="62" t="n"/>
      <c r="U10" s="76">
        <f>IF(C10="","",IF((L10="")+(M10="")+(O10="")+(P10="")+(Q10="")+(S10="")+(T10="")=0,"Complete",(L10="")+(M10="")+(O10="")+(P10="")+(Q10="")+(S10="")+(T10="")&amp;" missing"))</f>
        <v/>
      </c>
      <c r="V10" s="82" t="n"/>
      <c r="W10" s="77" t="n"/>
      <c r="X10" s="82" t="n"/>
      <c r="Y10" s="84">
        <f>IF(C10="","",IF(L10="None",Lists!$M$2,IF(OR(L10="Broken",L10="Outdated / Poor"),Lists!$M$3,IF(L10="Basic",Lists!$M$4,0)))+IF(N(H10)&gt;=Lists!$M$12,Lists!$M$5,0)+IF(N(G10)&gt;=Lists!$M$13,Lists!$M$6,0)+IF(Q10="No",Lists!$M$7,0)+IF(O10="Active",Lists!$M$8,0)+IF(P10="Yes",Lists!$M$9,0)+IF(V10="Yes",Lists!$M$10,0)+IF(X10="Yes",Lists!$M$11,0))</f>
        <v/>
      </c>
      <c r="Z10" s="84">
        <f>IF(C10="","",IF(U10&lt;&gt;"Complete","Audit pending",IF(Y10&gt;=Lists!$M$14,"Hot",IF(Y10&gt;=Lists!$M$15,"Warm","Cold"))))</f>
        <v/>
      </c>
      <c r="AA10" s="82" t="n"/>
      <c r="AB10" s="77" t="n"/>
      <c r="AC10" s="62" t="n"/>
    </row>
    <row r="11" ht="23.85" customHeight="1" s="57">
      <c r="A11" s="76" t="inlineStr">
        <is>
          <t>SAL-09</t>
        </is>
      </c>
      <c r="B11" s="77" t="inlineStr">
        <is>
          <t>Salon / Beauty Parlour</t>
        </is>
      </c>
      <c r="C11" s="62" t="n"/>
      <c r="D11" s="77" t="n"/>
      <c r="E11" s="77" t="n"/>
      <c r="F11" s="78" t="n"/>
      <c r="G11" s="79" t="n"/>
      <c r="H11" s="80" t="n"/>
      <c r="I11" s="81" t="n"/>
      <c r="J11" s="77" t="n"/>
      <c r="K11" s="77" t="n"/>
      <c r="L11" s="82" t="n"/>
      <c r="M11" s="82" t="n"/>
      <c r="N11" s="77" t="n"/>
      <c r="O11" s="82" t="n"/>
      <c r="P11" s="82" t="n"/>
      <c r="Q11" s="82" t="n"/>
      <c r="R11" s="83">
        <f>IF(B11="","",IFERROR(INDEX(Lists!$B$2:$B$6,MATCH(B11,Lists!$A$2:$A$6,0)),""))</f>
        <v/>
      </c>
      <c r="S11" s="82" t="n"/>
      <c r="T11" s="62" t="n"/>
      <c r="U11" s="76">
        <f>IF(C11="","",IF((L11="")+(M11="")+(O11="")+(P11="")+(Q11="")+(S11="")+(T11="")=0,"Complete",(L11="")+(M11="")+(O11="")+(P11="")+(Q11="")+(S11="")+(T11="")&amp;" missing"))</f>
        <v/>
      </c>
      <c r="V11" s="82" t="n"/>
      <c r="W11" s="77" t="n"/>
      <c r="X11" s="82" t="n"/>
      <c r="Y11" s="84">
        <f>IF(C11="","",IF(L11="None",Lists!$M$2,IF(OR(L11="Broken",L11="Outdated / Poor"),Lists!$M$3,IF(L11="Basic",Lists!$M$4,0)))+IF(N(H11)&gt;=Lists!$M$12,Lists!$M$5,0)+IF(N(G11)&gt;=Lists!$M$13,Lists!$M$6,0)+IF(Q11="No",Lists!$M$7,0)+IF(O11="Active",Lists!$M$8,0)+IF(P11="Yes",Lists!$M$9,0)+IF(V11="Yes",Lists!$M$10,0)+IF(X11="Yes",Lists!$M$11,0))</f>
        <v/>
      </c>
      <c r="Z11" s="84">
        <f>IF(C11="","",IF(U11&lt;&gt;"Complete","Audit pending",IF(Y11&gt;=Lists!$M$14,"Hot",IF(Y11&gt;=Lists!$M$15,"Warm","Cold"))))</f>
        <v/>
      </c>
      <c r="AA11" s="82" t="n"/>
      <c r="AB11" s="77" t="n"/>
      <c r="AC11" s="62" t="n"/>
    </row>
    <row r="12" ht="23.85" customHeight="1" s="57">
      <c r="A12" s="85" t="inlineStr">
        <is>
          <t>SAL-10</t>
        </is>
      </c>
      <c r="B12" s="86" t="inlineStr">
        <is>
          <t>Salon / Beauty Parlour</t>
        </is>
      </c>
      <c r="C12" s="87" t="n"/>
      <c r="D12" s="86" t="n"/>
      <c r="E12" s="86" t="n"/>
      <c r="F12" s="88" t="n"/>
      <c r="G12" s="89" t="n"/>
      <c r="H12" s="90" t="n"/>
      <c r="I12" s="91" t="n"/>
      <c r="J12" s="86" t="n"/>
      <c r="K12" s="86" t="n"/>
      <c r="L12" s="92" t="n"/>
      <c r="M12" s="92" t="n"/>
      <c r="N12" s="86" t="n"/>
      <c r="O12" s="92" t="n"/>
      <c r="P12" s="92" t="n"/>
      <c r="Q12" s="92" t="n"/>
      <c r="R12" s="93">
        <f>IF(B12="","",IFERROR(INDEX(Lists!$B$2:$B$6,MATCH(B12,Lists!$A$2:$A$6,0)),""))</f>
        <v/>
      </c>
      <c r="S12" s="92" t="n"/>
      <c r="T12" s="87" t="n"/>
      <c r="U12" s="85">
        <f>IF(C12="","",IF((L12="")+(M12="")+(O12="")+(P12="")+(Q12="")+(S12="")+(T12="")=0,"Complete",(L12="")+(M12="")+(O12="")+(P12="")+(Q12="")+(S12="")+(T12="")&amp;" missing"))</f>
        <v/>
      </c>
      <c r="V12" s="92" t="n"/>
      <c r="W12" s="86" t="n"/>
      <c r="X12" s="92" t="n"/>
      <c r="Y12" s="94">
        <f>IF(C12="","",IF(L12="None",Lists!$M$2,IF(OR(L12="Broken",L12="Outdated / Poor"),Lists!$M$3,IF(L12="Basic",Lists!$M$4,0)))+IF(N(H12)&gt;=Lists!$M$12,Lists!$M$5,0)+IF(N(G12)&gt;=Lists!$M$13,Lists!$M$6,0)+IF(Q12="No",Lists!$M$7,0)+IF(O12="Active",Lists!$M$8,0)+IF(P12="Yes",Lists!$M$9,0)+IF(V12="Yes",Lists!$M$10,0)+IF(X12="Yes",Lists!$M$11,0))</f>
        <v/>
      </c>
      <c r="Z12" s="94">
        <f>IF(C12="","",IF(U12&lt;&gt;"Complete","Audit pending",IF(Y12&gt;=Lists!$M$14,"Hot",IF(Y12&gt;=Lists!$M$15,"Warm","Cold"))))</f>
        <v/>
      </c>
      <c r="AA12" s="92" t="n"/>
      <c r="AB12" s="86" t="n"/>
      <c r="AC12" s="87" t="n"/>
    </row>
    <row r="13" ht="23.85" customHeight="1" s="57">
      <c r="A13" s="76" t="inlineStr">
        <is>
          <t>DEN-01</t>
        </is>
      </c>
      <c r="B13" s="77" t="inlineStr">
        <is>
          <t>Dental Clinic</t>
        </is>
      </c>
      <c r="C13" s="62" t="n"/>
      <c r="D13" s="77" t="n"/>
      <c r="E13" s="77" t="n"/>
      <c r="F13" s="78" t="n"/>
      <c r="G13" s="79" t="n"/>
      <c r="H13" s="80" t="n"/>
      <c r="I13" s="81" t="n"/>
      <c r="J13" s="77" t="n"/>
      <c r="K13" s="77" t="n"/>
      <c r="L13" s="82" t="n"/>
      <c r="M13" s="82" t="n"/>
      <c r="N13" s="77" t="n"/>
      <c r="O13" s="82" t="n"/>
      <c r="P13" s="82" t="n"/>
      <c r="Q13" s="82" t="n"/>
      <c r="R13" s="83">
        <f>IF(B13="","",IFERROR(INDEX(Lists!$B$2:$B$6,MATCH(B13,Lists!$A$2:$A$6,0)),""))</f>
        <v/>
      </c>
      <c r="S13" s="82" t="n"/>
      <c r="T13" s="62" t="n"/>
      <c r="U13" s="76">
        <f>IF(C13="","",IF((L13="")+(M13="")+(O13="")+(P13="")+(Q13="")+(S13="")+(T13="")=0,"Complete",(L13="")+(M13="")+(O13="")+(P13="")+(Q13="")+(S13="")+(T13="")&amp;" missing"))</f>
        <v/>
      </c>
      <c r="V13" s="82" t="n"/>
      <c r="W13" s="77" t="n"/>
      <c r="X13" s="82" t="n"/>
      <c r="Y13" s="84">
        <f>IF(C13="","",IF(L13="None",Lists!$M$2,IF(OR(L13="Broken",L13="Outdated / Poor"),Lists!$M$3,IF(L13="Basic",Lists!$M$4,0)))+IF(N(H13)&gt;=Lists!$M$12,Lists!$M$5,0)+IF(N(G13)&gt;=Lists!$M$13,Lists!$M$6,0)+IF(Q13="No",Lists!$M$7,0)+IF(O13="Active",Lists!$M$8,0)+IF(P13="Yes",Lists!$M$9,0)+IF(V13="Yes",Lists!$M$10,0)+IF(X13="Yes",Lists!$M$11,0))</f>
        <v/>
      </c>
      <c r="Z13" s="84">
        <f>IF(C13="","",IF(U13&lt;&gt;"Complete","Audit pending",IF(Y13&gt;=Lists!$M$14,"Hot",IF(Y13&gt;=Lists!$M$15,"Warm","Cold"))))</f>
        <v/>
      </c>
      <c r="AA13" s="82" t="n"/>
      <c r="AB13" s="77" t="n"/>
      <c r="AC13" s="62" t="n"/>
    </row>
    <row r="14" ht="23.85" customHeight="1" s="57">
      <c r="A14" s="76" t="inlineStr">
        <is>
          <t>DEN-02</t>
        </is>
      </c>
      <c r="B14" s="77" t="inlineStr">
        <is>
          <t>Dental Clinic</t>
        </is>
      </c>
      <c r="C14" s="62" t="n"/>
      <c r="D14" s="77" t="n"/>
      <c r="E14" s="77" t="n"/>
      <c r="F14" s="78" t="n"/>
      <c r="G14" s="79" t="n"/>
      <c r="H14" s="80" t="n"/>
      <c r="I14" s="81" t="n"/>
      <c r="J14" s="77" t="n"/>
      <c r="K14" s="77" t="n"/>
      <c r="L14" s="82" t="n"/>
      <c r="M14" s="82" t="n"/>
      <c r="N14" s="77" t="n"/>
      <c r="O14" s="82" t="n"/>
      <c r="P14" s="82" t="n"/>
      <c r="Q14" s="82" t="n"/>
      <c r="R14" s="83">
        <f>IF(B14="","",IFERROR(INDEX(Lists!$B$2:$B$6,MATCH(B14,Lists!$A$2:$A$6,0)),""))</f>
        <v/>
      </c>
      <c r="S14" s="82" t="n"/>
      <c r="T14" s="62" t="n"/>
      <c r="U14" s="76">
        <f>IF(C14="","",IF((L14="")+(M14="")+(O14="")+(P14="")+(Q14="")+(S14="")+(T14="")=0,"Complete",(L14="")+(M14="")+(O14="")+(P14="")+(Q14="")+(S14="")+(T14="")&amp;" missing"))</f>
        <v/>
      </c>
      <c r="V14" s="82" t="n"/>
      <c r="W14" s="77" t="n"/>
      <c r="X14" s="82" t="n"/>
      <c r="Y14" s="84">
        <f>IF(C14="","",IF(L14="None",Lists!$M$2,IF(OR(L14="Broken",L14="Outdated / Poor"),Lists!$M$3,IF(L14="Basic",Lists!$M$4,0)))+IF(N(H14)&gt;=Lists!$M$12,Lists!$M$5,0)+IF(N(G14)&gt;=Lists!$M$13,Lists!$M$6,0)+IF(Q14="No",Lists!$M$7,0)+IF(O14="Active",Lists!$M$8,0)+IF(P14="Yes",Lists!$M$9,0)+IF(V14="Yes",Lists!$M$10,0)+IF(X14="Yes",Lists!$M$11,0))</f>
        <v/>
      </c>
      <c r="Z14" s="84">
        <f>IF(C14="","",IF(U14&lt;&gt;"Complete","Audit pending",IF(Y14&gt;=Lists!$M$14,"Hot",IF(Y14&gt;=Lists!$M$15,"Warm","Cold"))))</f>
        <v/>
      </c>
      <c r="AA14" s="82" t="n"/>
      <c r="AB14" s="77" t="n"/>
      <c r="AC14" s="62" t="n"/>
    </row>
    <row r="15" ht="23.85" customHeight="1" s="57">
      <c r="A15" s="76" t="inlineStr">
        <is>
          <t>DEN-03</t>
        </is>
      </c>
      <c r="B15" s="77" t="inlineStr">
        <is>
          <t>Dental Clinic</t>
        </is>
      </c>
      <c r="C15" s="62" t="n"/>
      <c r="D15" s="77" t="n"/>
      <c r="E15" s="77" t="n"/>
      <c r="F15" s="78" t="n"/>
      <c r="G15" s="79" t="n"/>
      <c r="H15" s="80" t="n"/>
      <c r="I15" s="81" t="n"/>
      <c r="J15" s="77" t="n"/>
      <c r="K15" s="77" t="n"/>
      <c r="L15" s="82" t="n"/>
      <c r="M15" s="82" t="n"/>
      <c r="N15" s="77" t="n"/>
      <c r="O15" s="82" t="n"/>
      <c r="P15" s="82" t="n"/>
      <c r="Q15" s="82" t="n"/>
      <c r="R15" s="83">
        <f>IF(B15="","",IFERROR(INDEX(Lists!$B$2:$B$6,MATCH(B15,Lists!$A$2:$A$6,0)),""))</f>
        <v/>
      </c>
      <c r="S15" s="82" t="n"/>
      <c r="T15" s="62" t="n"/>
      <c r="U15" s="76">
        <f>IF(C15="","",IF((L15="")+(M15="")+(O15="")+(P15="")+(Q15="")+(S15="")+(T15="")=0,"Complete",(L15="")+(M15="")+(O15="")+(P15="")+(Q15="")+(S15="")+(T15="")&amp;" missing"))</f>
        <v/>
      </c>
      <c r="V15" s="82" t="n"/>
      <c r="W15" s="77" t="n"/>
      <c r="X15" s="82" t="n"/>
      <c r="Y15" s="84">
        <f>IF(C15="","",IF(L15="None",Lists!$M$2,IF(OR(L15="Broken",L15="Outdated / Poor"),Lists!$M$3,IF(L15="Basic",Lists!$M$4,0)))+IF(N(H15)&gt;=Lists!$M$12,Lists!$M$5,0)+IF(N(G15)&gt;=Lists!$M$13,Lists!$M$6,0)+IF(Q15="No",Lists!$M$7,0)+IF(O15="Active",Lists!$M$8,0)+IF(P15="Yes",Lists!$M$9,0)+IF(V15="Yes",Lists!$M$10,0)+IF(X15="Yes",Lists!$M$11,0))</f>
        <v/>
      </c>
      <c r="Z15" s="84">
        <f>IF(C15="","",IF(U15&lt;&gt;"Complete","Audit pending",IF(Y15&gt;=Lists!$M$14,"Hot",IF(Y15&gt;=Lists!$M$15,"Warm","Cold"))))</f>
        <v/>
      </c>
      <c r="AA15" s="82" t="n"/>
      <c r="AB15" s="77" t="n"/>
      <c r="AC15" s="62" t="n"/>
    </row>
    <row r="16" ht="23.85" customHeight="1" s="57">
      <c r="A16" s="76" t="inlineStr">
        <is>
          <t>DEN-04</t>
        </is>
      </c>
      <c r="B16" s="77" t="inlineStr">
        <is>
          <t>Dental Clinic</t>
        </is>
      </c>
      <c r="C16" s="62" t="n"/>
      <c r="D16" s="77" t="n"/>
      <c r="E16" s="77" t="n"/>
      <c r="F16" s="78" t="n"/>
      <c r="G16" s="79" t="n"/>
      <c r="H16" s="80" t="n"/>
      <c r="I16" s="81" t="n"/>
      <c r="J16" s="77" t="n"/>
      <c r="K16" s="77" t="n"/>
      <c r="L16" s="82" t="n"/>
      <c r="M16" s="82" t="n"/>
      <c r="N16" s="77" t="n"/>
      <c r="O16" s="82" t="n"/>
      <c r="P16" s="82" t="n"/>
      <c r="Q16" s="82" t="n"/>
      <c r="R16" s="83">
        <f>IF(B16="","",IFERROR(INDEX(Lists!$B$2:$B$6,MATCH(B16,Lists!$A$2:$A$6,0)),""))</f>
        <v/>
      </c>
      <c r="S16" s="82" t="n"/>
      <c r="T16" s="62" t="n"/>
      <c r="U16" s="76">
        <f>IF(C16="","",IF((L16="")+(M16="")+(O16="")+(P16="")+(Q16="")+(S16="")+(T16="")=0,"Complete",(L16="")+(M16="")+(O16="")+(P16="")+(Q16="")+(S16="")+(T16="")&amp;" missing"))</f>
        <v/>
      </c>
      <c r="V16" s="82" t="n"/>
      <c r="W16" s="77" t="n"/>
      <c r="X16" s="82" t="n"/>
      <c r="Y16" s="84">
        <f>IF(C16="","",IF(L16="None",Lists!$M$2,IF(OR(L16="Broken",L16="Outdated / Poor"),Lists!$M$3,IF(L16="Basic",Lists!$M$4,0)))+IF(N(H16)&gt;=Lists!$M$12,Lists!$M$5,0)+IF(N(G16)&gt;=Lists!$M$13,Lists!$M$6,0)+IF(Q16="No",Lists!$M$7,0)+IF(O16="Active",Lists!$M$8,0)+IF(P16="Yes",Lists!$M$9,0)+IF(V16="Yes",Lists!$M$10,0)+IF(X16="Yes",Lists!$M$11,0))</f>
        <v/>
      </c>
      <c r="Z16" s="84">
        <f>IF(C16="","",IF(U16&lt;&gt;"Complete","Audit pending",IF(Y16&gt;=Lists!$M$14,"Hot",IF(Y16&gt;=Lists!$M$15,"Warm","Cold"))))</f>
        <v/>
      </c>
      <c r="AA16" s="82" t="n"/>
      <c r="AB16" s="77" t="n"/>
      <c r="AC16" s="62" t="n"/>
    </row>
    <row r="17" ht="23.85" customHeight="1" s="57">
      <c r="A17" s="76" t="inlineStr">
        <is>
          <t>DEN-05</t>
        </is>
      </c>
      <c r="B17" s="77" t="inlineStr">
        <is>
          <t>Dental Clinic</t>
        </is>
      </c>
      <c r="C17" s="62" t="n"/>
      <c r="D17" s="77" t="n"/>
      <c r="E17" s="77" t="n"/>
      <c r="F17" s="78" t="n"/>
      <c r="G17" s="79" t="n"/>
      <c r="H17" s="80" t="n"/>
      <c r="I17" s="81" t="n"/>
      <c r="J17" s="77" t="n"/>
      <c r="K17" s="77" t="n"/>
      <c r="L17" s="82" t="n"/>
      <c r="M17" s="82" t="n"/>
      <c r="N17" s="77" t="n"/>
      <c r="O17" s="82" t="n"/>
      <c r="P17" s="82" t="n"/>
      <c r="Q17" s="82" t="n"/>
      <c r="R17" s="83">
        <f>IF(B17="","",IFERROR(INDEX(Lists!$B$2:$B$6,MATCH(B17,Lists!$A$2:$A$6,0)),""))</f>
        <v/>
      </c>
      <c r="S17" s="82" t="n"/>
      <c r="T17" s="62" t="n"/>
      <c r="U17" s="76">
        <f>IF(C17="","",IF((L17="")+(M17="")+(O17="")+(P17="")+(Q17="")+(S17="")+(T17="")=0,"Complete",(L17="")+(M17="")+(O17="")+(P17="")+(Q17="")+(S17="")+(T17="")&amp;" missing"))</f>
        <v/>
      </c>
      <c r="V17" s="82" t="n"/>
      <c r="W17" s="77" t="n"/>
      <c r="X17" s="82" t="n"/>
      <c r="Y17" s="84">
        <f>IF(C17="","",IF(L17="None",Lists!$M$2,IF(OR(L17="Broken",L17="Outdated / Poor"),Lists!$M$3,IF(L17="Basic",Lists!$M$4,0)))+IF(N(H17)&gt;=Lists!$M$12,Lists!$M$5,0)+IF(N(G17)&gt;=Lists!$M$13,Lists!$M$6,0)+IF(Q17="No",Lists!$M$7,0)+IF(O17="Active",Lists!$M$8,0)+IF(P17="Yes",Lists!$M$9,0)+IF(V17="Yes",Lists!$M$10,0)+IF(X17="Yes",Lists!$M$11,0))</f>
        <v/>
      </c>
      <c r="Z17" s="84">
        <f>IF(C17="","",IF(U17&lt;&gt;"Complete","Audit pending",IF(Y17&gt;=Lists!$M$14,"Hot",IF(Y17&gt;=Lists!$M$15,"Warm","Cold"))))</f>
        <v/>
      </c>
      <c r="AA17" s="82" t="n"/>
      <c r="AB17" s="77" t="n"/>
      <c r="AC17" s="62" t="n"/>
    </row>
    <row r="18" ht="23.85" customHeight="1" s="57">
      <c r="A18" s="76" t="inlineStr">
        <is>
          <t>DEN-06</t>
        </is>
      </c>
      <c r="B18" s="77" t="inlineStr">
        <is>
          <t>Dental Clinic</t>
        </is>
      </c>
      <c r="C18" s="62" t="n"/>
      <c r="D18" s="77" t="n"/>
      <c r="E18" s="77" t="n"/>
      <c r="F18" s="78" t="n"/>
      <c r="G18" s="79" t="n"/>
      <c r="H18" s="80" t="n"/>
      <c r="I18" s="81" t="n"/>
      <c r="J18" s="77" t="n"/>
      <c r="K18" s="77" t="n"/>
      <c r="L18" s="82" t="n"/>
      <c r="M18" s="82" t="n"/>
      <c r="N18" s="77" t="n"/>
      <c r="O18" s="82" t="n"/>
      <c r="P18" s="82" t="n"/>
      <c r="Q18" s="82" t="n"/>
      <c r="R18" s="83">
        <f>IF(B18="","",IFERROR(INDEX(Lists!$B$2:$B$6,MATCH(B18,Lists!$A$2:$A$6,0)),""))</f>
        <v/>
      </c>
      <c r="S18" s="82" t="n"/>
      <c r="T18" s="62" t="n"/>
      <c r="U18" s="76">
        <f>IF(C18="","",IF((L18="")+(M18="")+(O18="")+(P18="")+(Q18="")+(S18="")+(T18="")=0,"Complete",(L18="")+(M18="")+(O18="")+(P18="")+(Q18="")+(S18="")+(T18="")&amp;" missing"))</f>
        <v/>
      </c>
      <c r="V18" s="82" t="n"/>
      <c r="W18" s="77" t="n"/>
      <c r="X18" s="82" t="n"/>
      <c r="Y18" s="84">
        <f>IF(C18="","",IF(L18="None",Lists!$M$2,IF(OR(L18="Broken",L18="Outdated / Poor"),Lists!$M$3,IF(L18="Basic",Lists!$M$4,0)))+IF(N(H18)&gt;=Lists!$M$12,Lists!$M$5,0)+IF(N(G18)&gt;=Lists!$M$13,Lists!$M$6,0)+IF(Q18="No",Lists!$M$7,0)+IF(O18="Active",Lists!$M$8,0)+IF(P18="Yes",Lists!$M$9,0)+IF(V18="Yes",Lists!$M$10,0)+IF(X18="Yes",Lists!$M$11,0))</f>
        <v/>
      </c>
      <c r="Z18" s="84">
        <f>IF(C18="","",IF(U18&lt;&gt;"Complete","Audit pending",IF(Y18&gt;=Lists!$M$14,"Hot",IF(Y18&gt;=Lists!$M$15,"Warm","Cold"))))</f>
        <v/>
      </c>
      <c r="AA18" s="82" t="n"/>
      <c r="AB18" s="77" t="n"/>
      <c r="AC18" s="62" t="n"/>
    </row>
    <row r="19" ht="23.85" customHeight="1" s="57">
      <c r="A19" s="76" t="inlineStr">
        <is>
          <t>DEN-07</t>
        </is>
      </c>
      <c r="B19" s="77" t="inlineStr">
        <is>
          <t>Dental Clinic</t>
        </is>
      </c>
      <c r="C19" s="62" t="n"/>
      <c r="D19" s="77" t="n"/>
      <c r="E19" s="77" t="n"/>
      <c r="F19" s="78" t="n"/>
      <c r="G19" s="79" t="n"/>
      <c r="H19" s="80" t="n"/>
      <c r="I19" s="81" t="n"/>
      <c r="J19" s="77" t="n"/>
      <c r="K19" s="77" t="n"/>
      <c r="L19" s="82" t="n"/>
      <c r="M19" s="82" t="n"/>
      <c r="N19" s="77" t="n"/>
      <c r="O19" s="82" t="n"/>
      <c r="P19" s="82" t="n"/>
      <c r="Q19" s="82" t="n"/>
      <c r="R19" s="83">
        <f>IF(B19="","",IFERROR(INDEX(Lists!$B$2:$B$6,MATCH(B19,Lists!$A$2:$A$6,0)),""))</f>
        <v/>
      </c>
      <c r="S19" s="82" t="n"/>
      <c r="T19" s="62" t="n"/>
      <c r="U19" s="76">
        <f>IF(C19="","",IF((L19="")+(M19="")+(O19="")+(P19="")+(Q19="")+(S19="")+(T19="")=0,"Complete",(L19="")+(M19="")+(O19="")+(P19="")+(Q19="")+(S19="")+(T19="")&amp;" missing"))</f>
        <v/>
      </c>
      <c r="V19" s="82" t="n"/>
      <c r="W19" s="77" t="n"/>
      <c r="X19" s="82" t="n"/>
      <c r="Y19" s="84">
        <f>IF(C19="","",IF(L19="None",Lists!$M$2,IF(OR(L19="Broken",L19="Outdated / Poor"),Lists!$M$3,IF(L19="Basic",Lists!$M$4,0)))+IF(N(H19)&gt;=Lists!$M$12,Lists!$M$5,0)+IF(N(G19)&gt;=Lists!$M$13,Lists!$M$6,0)+IF(Q19="No",Lists!$M$7,0)+IF(O19="Active",Lists!$M$8,0)+IF(P19="Yes",Lists!$M$9,0)+IF(V19="Yes",Lists!$M$10,0)+IF(X19="Yes",Lists!$M$11,0))</f>
        <v/>
      </c>
      <c r="Z19" s="84">
        <f>IF(C19="","",IF(U19&lt;&gt;"Complete","Audit pending",IF(Y19&gt;=Lists!$M$14,"Hot",IF(Y19&gt;=Lists!$M$15,"Warm","Cold"))))</f>
        <v/>
      </c>
      <c r="AA19" s="82" t="n"/>
      <c r="AB19" s="77" t="n"/>
      <c r="AC19" s="62" t="n"/>
    </row>
    <row r="20" ht="23.85" customHeight="1" s="57">
      <c r="A20" s="76" t="inlineStr">
        <is>
          <t>DEN-08</t>
        </is>
      </c>
      <c r="B20" s="77" t="inlineStr">
        <is>
          <t>Dental Clinic</t>
        </is>
      </c>
      <c r="C20" s="62" t="n"/>
      <c r="D20" s="77" t="n"/>
      <c r="E20" s="77" t="n"/>
      <c r="F20" s="78" t="n"/>
      <c r="G20" s="79" t="n"/>
      <c r="H20" s="80" t="n"/>
      <c r="I20" s="81" t="n"/>
      <c r="J20" s="77" t="n"/>
      <c r="K20" s="77" t="n"/>
      <c r="L20" s="82" t="n"/>
      <c r="M20" s="82" t="n"/>
      <c r="N20" s="77" t="n"/>
      <c r="O20" s="82" t="n"/>
      <c r="P20" s="82" t="n"/>
      <c r="Q20" s="82" t="n"/>
      <c r="R20" s="83">
        <f>IF(B20="","",IFERROR(INDEX(Lists!$B$2:$B$6,MATCH(B20,Lists!$A$2:$A$6,0)),""))</f>
        <v/>
      </c>
      <c r="S20" s="82" t="n"/>
      <c r="T20" s="62" t="n"/>
      <c r="U20" s="76">
        <f>IF(C20="","",IF((L20="")+(M20="")+(O20="")+(P20="")+(Q20="")+(S20="")+(T20="")=0,"Complete",(L20="")+(M20="")+(O20="")+(P20="")+(Q20="")+(S20="")+(T20="")&amp;" missing"))</f>
        <v/>
      </c>
      <c r="V20" s="82" t="n"/>
      <c r="W20" s="77" t="n"/>
      <c r="X20" s="82" t="n"/>
      <c r="Y20" s="84">
        <f>IF(C20="","",IF(L20="None",Lists!$M$2,IF(OR(L20="Broken",L20="Outdated / Poor"),Lists!$M$3,IF(L20="Basic",Lists!$M$4,0)))+IF(N(H20)&gt;=Lists!$M$12,Lists!$M$5,0)+IF(N(G20)&gt;=Lists!$M$13,Lists!$M$6,0)+IF(Q20="No",Lists!$M$7,0)+IF(O20="Active",Lists!$M$8,0)+IF(P20="Yes",Lists!$M$9,0)+IF(V20="Yes",Lists!$M$10,0)+IF(X20="Yes",Lists!$M$11,0))</f>
        <v/>
      </c>
      <c r="Z20" s="84">
        <f>IF(C20="","",IF(U20&lt;&gt;"Complete","Audit pending",IF(Y20&gt;=Lists!$M$14,"Hot",IF(Y20&gt;=Lists!$M$15,"Warm","Cold"))))</f>
        <v/>
      </c>
      <c r="AA20" s="82" t="n"/>
      <c r="AB20" s="77" t="n"/>
      <c r="AC20" s="62" t="n"/>
    </row>
    <row r="21" ht="23.85" customHeight="1" s="57">
      <c r="A21" s="76" t="inlineStr">
        <is>
          <t>DEN-09</t>
        </is>
      </c>
      <c r="B21" s="77" t="inlineStr">
        <is>
          <t>Dental Clinic</t>
        </is>
      </c>
      <c r="C21" s="62" t="n"/>
      <c r="D21" s="77" t="n"/>
      <c r="E21" s="77" t="n"/>
      <c r="F21" s="78" t="n"/>
      <c r="G21" s="79" t="n"/>
      <c r="H21" s="80" t="n"/>
      <c r="I21" s="81" t="n"/>
      <c r="J21" s="77" t="n"/>
      <c r="K21" s="77" t="n"/>
      <c r="L21" s="82" t="n"/>
      <c r="M21" s="82" t="n"/>
      <c r="N21" s="77" t="n"/>
      <c r="O21" s="82" t="n"/>
      <c r="P21" s="82" t="n"/>
      <c r="Q21" s="82" t="n"/>
      <c r="R21" s="83">
        <f>IF(B21="","",IFERROR(INDEX(Lists!$B$2:$B$6,MATCH(B21,Lists!$A$2:$A$6,0)),""))</f>
        <v/>
      </c>
      <c r="S21" s="82" t="n"/>
      <c r="T21" s="62" t="n"/>
      <c r="U21" s="76">
        <f>IF(C21="","",IF((L21="")+(M21="")+(O21="")+(P21="")+(Q21="")+(S21="")+(T21="")=0,"Complete",(L21="")+(M21="")+(O21="")+(P21="")+(Q21="")+(S21="")+(T21="")&amp;" missing"))</f>
        <v/>
      </c>
      <c r="V21" s="82" t="n"/>
      <c r="W21" s="77" t="n"/>
      <c r="X21" s="82" t="n"/>
      <c r="Y21" s="84">
        <f>IF(C21="","",IF(L21="None",Lists!$M$2,IF(OR(L21="Broken",L21="Outdated / Poor"),Lists!$M$3,IF(L21="Basic",Lists!$M$4,0)))+IF(N(H21)&gt;=Lists!$M$12,Lists!$M$5,0)+IF(N(G21)&gt;=Lists!$M$13,Lists!$M$6,0)+IF(Q21="No",Lists!$M$7,0)+IF(O21="Active",Lists!$M$8,0)+IF(P21="Yes",Lists!$M$9,0)+IF(V21="Yes",Lists!$M$10,0)+IF(X21="Yes",Lists!$M$11,0))</f>
        <v/>
      </c>
      <c r="Z21" s="84">
        <f>IF(C21="","",IF(U21&lt;&gt;"Complete","Audit pending",IF(Y21&gt;=Lists!$M$14,"Hot",IF(Y21&gt;=Lists!$M$15,"Warm","Cold"))))</f>
        <v/>
      </c>
      <c r="AA21" s="82" t="n"/>
      <c r="AB21" s="77" t="n"/>
      <c r="AC21" s="62" t="n"/>
    </row>
    <row r="22" ht="23.85" customHeight="1" s="57">
      <c r="A22" s="85" t="inlineStr">
        <is>
          <t>DEN-10</t>
        </is>
      </c>
      <c r="B22" s="86" t="inlineStr">
        <is>
          <t>Dental Clinic</t>
        </is>
      </c>
      <c r="C22" s="87" t="n"/>
      <c r="D22" s="86" t="n"/>
      <c r="E22" s="86" t="n"/>
      <c r="F22" s="88" t="n"/>
      <c r="G22" s="89" t="n"/>
      <c r="H22" s="90" t="n"/>
      <c r="I22" s="91" t="n"/>
      <c r="J22" s="86" t="n"/>
      <c r="K22" s="86" t="n"/>
      <c r="L22" s="92" t="n"/>
      <c r="M22" s="92" t="n"/>
      <c r="N22" s="86" t="n"/>
      <c r="O22" s="92" t="n"/>
      <c r="P22" s="92" t="n"/>
      <c r="Q22" s="92" t="n"/>
      <c r="R22" s="93">
        <f>IF(B22="","",IFERROR(INDEX(Lists!$B$2:$B$6,MATCH(B22,Lists!$A$2:$A$6,0)),""))</f>
        <v/>
      </c>
      <c r="S22" s="92" t="n"/>
      <c r="T22" s="87" t="n"/>
      <c r="U22" s="85">
        <f>IF(C22="","",IF((L22="")+(M22="")+(O22="")+(P22="")+(Q22="")+(S22="")+(T22="")=0,"Complete",(L22="")+(M22="")+(O22="")+(P22="")+(Q22="")+(S22="")+(T22="")&amp;" missing"))</f>
        <v/>
      </c>
      <c r="V22" s="92" t="n"/>
      <c r="W22" s="86" t="n"/>
      <c r="X22" s="92" t="n"/>
      <c r="Y22" s="94">
        <f>IF(C22="","",IF(L22="None",Lists!$M$2,IF(OR(L22="Broken",L22="Outdated / Poor"),Lists!$M$3,IF(L22="Basic",Lists!$M$4,0)))+IF(N(H22)&gt;=Lists!$M$12,Lists!$M$5,0)+IF(N(G22)&gt;=Lists!$M$13,Lists!$M$6,0)+IF(Q22="No",Lists!$M$7,0)+IF(O22="Active",Lists!$M$8,0)+IF(P22="Yes",Lists!$M$9,0)+IF(V22="Yes",Lists!$M$10,0)+IF(X22="Yes",Lists!$M$11,0))</f>
        <v/>
      </c>
      <c r="Z22" s="94">
        <f>IF(C22="","",IF(U22&lt;&gt;"Complete","Audit pending",IF(Y22&gt;=Lists!$M$14,"Hot",IF(Y22&gt;=Lists!$M$15,"Warm","Cold"))))</f>
        <v/>
      </c>
      <c r="AA22" s="92" t="n"/>
      <c r="AB22" s="86" t="n"/>
      <c r="AC22" s="87" t="n"/>
    </row>
    <row r="23" ht="23.85" customHeight="1" s="57">
      <c r="A23" s="76" t="inlineStr">
        <is>
          <t>GYM-01</t>
        </is>
      </c>
      <c r="B23" s="77" t="inlineStr">
        <is>
          <t>Gym / Fitness Studio</t>
        </is>
      </c>
      <c r="C23" s="62" t="n"/>
      <c r="D23" s="77" t="n"/>
      <c r="E23" s="77" t="n"/>
      <c r="F23" s="78" t="n"/>
      <c r="G23" s="79" t="n"/>
      <c r="H23" s="80" t="n"/>
      <c r="I23" s="81" t="n"/>
      <c r="J23" s="77" t="n"/>
      <c r="K23" s="77" t="n"/>
      <c r="L23" s="82" t="n"/>
      <c r="M23" s="82" t="n"/>
      <c r="N23" s="77" t="n"/>
      <c r="O23" s="82" t="n"/>
      <c r="P23" s="82" t="n"/>
      <c r="Q23" s="82" t="n"/>
      <c r="R23" s="83">
        <f>IF(B23="","",IFERROR(INDEX(Lists!$B$2:$B$6,MATCH(B23,Lists!$A$2:$A$6,0)),""))</f>
        <v/>
      </c>
      <c r="S23" s="82" t="n"/>
      <c r="T23" s="62" t="n"/>
      <c r="U23" s="76">
        <f>IF(C23="","",IF((L23="")+(M23="")+(O23="")+(P23="")+(Q23="")+(S23="")+(T23="")=0,"Complete",(L23="")+(M23="")+(O23="")+(P23="")+(Q23="")+(S23="")+(T23="")&amp;" missing"))</f>
        <v/>
      </c>
      <c r="V23" s="82" t="n"/>
      <c r="W23" s="77" t="n"/>
      <c r="X23" s="82" t="n"/>
      <c r="Y23" s="84">
        <f>IF(C23="","",IF(L23="None",Lists!$M$2,IF(OR(L23="Broken",L23="Outdated / Poor"),Lists!$M$3,IF(L23="Basic",Lists!$M$4,0)))+IF(N(H23)&gt;=Lists!$M$12,Lists!$M$5,0)+IF(N(G23)&gt;=Lists!$M$13,Lists!$M$6,0)+IF(Q23="No",Lists!$M$7,0)+IF(O23="Active",Lists!$M$8,0)+IF(P23="Yes",Lists!$M$9,0)+IF(V23="Yes",Lists!$M$10,0)+IF(X23="Yes",Lists!$M$11,0))</f>
        <v/>
      </c>
      <c r="Z23" s="84">
        <f>IF(C23="","",IF(U23&lt;&gt;"Complete","Audit pending",IF(Y23&gt;=Lists!$M$14,"Hot",IF(Y23&gt;=Lists!$M$15,"Warm","Cold"))))</f>
        <v/>
      </c>
      <c r="AA23" s="82" t="n"/>
      <c r="AB23" s="77" t="n"/>
      <c r="AC23" s="62" t="n"/>
    </row>
    <row r="24" ht="23.85" customHeight="1" s="57">
      <c r="A24" s="76" t="inlineStr">
        <is>
          <t>GYM-02</t>
        </is>
      </c>
      <c r="B24" s="77" t="inlineStr">
        <is>
          <t>Gym / Fitness Studio</t>
        </is>
      </c>
      <c r="C24" s="62" t="n"/>
      <c r="D24" s="77" t="n"/>
      <c r="E24" s="77" t="n"/>
      <c r="F24" s="78" t="n"/>
      <c r="G24" s="79" t="n"/>
      <c r="H24" s="80" t="n"/>
      <c r="I24" s="81" t="n"/>
      <c r="J24" s="77" t="n"/>
      <c r="K24" s="77" t="n"/>
      <c r="L24" s="82" t="n"/>
      <c r="M24" s="82" t="n"/>
      <c r="N24" s="77" t="n"/>
      <c r="O24" s="82" t="n"/>
      <c r="P24" s="82" t="n"/>
      <c r="Q24" s="82" t="n"/>
      <c r="R24" s="83">
        <f>IF(B24="","",IFERROR(INDEX(Lists!$B$2:$B$6,MATCH(B24,Lists!$A$2:$A$6,0)),""))</f>
        <v/>
      </c>
      <c r="S24" s="82" t="n"/>
      <c r="T24" s="62" t="n"/>
      <c r="U24" s="76">
        <f>IF(C24="","",IF((L24="")+(M24="")+(O24="")+(P24="")+(Q24="")+(S24="")+(T24="")=0,"Complete",(L24="")+(M24="")+(O24="")+(P24="")+(Q24="")+(S24="")+(T24="")&amp;" missing"))</f>
        <v/>
      </c>
      <c r="V24" s="82" t="n"/>
      <c r="W24" s="77" t="n"/>
      <c r="X24" s="82" t="n"/>
      <c r="Y24" s="84">
        <f>IF(C24="","",IF(L24="None",Lists!$M$2,IF(OR(L24="Broken",L24="Outdated / Poor"),Lists!$M$3,IF(L24="Basic",Lists!$M$4,0)))+IF(N(H24)&gt;=Lists!$M$12,Lists!$M$5,0)+IF(N(G24)&gt;=Lists!$M$13,Lists!$M$6,0)+IF(Q24="No",Lists!$M$7,0)+IF(O24="Active",Lists!$M$8,0)+IF(P24="Yes",Lists!$M$9,0)+IF(V24="Yes",Lists!$M$10,0)+IF(X24="Yes",Lists!$M$11,0))</f>
        <v/>
      </c>
      <c r="Z24" s="84">
        <f>IF(C24="","",IF(U24&lt;&gt;"Complete","Audit pending",IF(Y24&gt;=Lists!$M$14,"Hot",IF(Y24&gt;=Lists!$M$15,"Warm","Cold"))))</f>
        <v/>
      </c>
      <c r="AA24" s="82" t="n"/>
      <c r="AB24" s="77" t="n"/>
      <c r="AC24" s="62" t="n"/>
    </row>
    <row r="25" ht="23.85" customHeight="1" s="57">
      <c r="A25" s="76" t="inlineStr">
        <is>
          <t>GYM-03</t>
        </is>
      </c>
      <c r="B25" s="77" t="inlineStr">
        <is>
          <t>Gym / Fitness Studio</t>
        </is>
      </c>
      <c r="C25" s="62" t="n"/>
      <c r="D25" s="77" t="n"/>
      <c r="E25" s="77" t="n"/>
      <c r="F25" s="78" t="n"/>
      <c r="G25" s="79" t="n"/>
      <c r="H25" s="80" t="n"/>
      <c r="I25" s="81" t="n"/>
      <c r="J25" s="77" t="n"/>
      <c r="K25" s="77" t="n"/>
      <c r="L25" s="82" t="n"/>
      <c r="M25" s="82" t="n"/>
      <c r="N25" s="77" t="n"/>
      <c r="O25" s="82" t="n"/>
      <c r="P25" s="82" t="n"/>
      <c r="Q25" s="82" t="n"/>
      <c r="R25" s="83">
        <f>IF(B25="","",IFERROR(INDEX(Lists!$B$2:$B$6,MATCH(B25,Lists!$A$2:$A$6,0)),""))</f>
        <v/>
      </c>
      <c r="S25" s="82" t="n"/>
      <c r="T25" s="62" t="n"/>
      <c r="U25" s="76">
        <f>IF(C25="","",IF((L25="")+(M25="")+(O25="")+(P25="")+(Q25="")+(S25="")+(T25="")=0,"Complete",(L25="")+(M25="")+(O25="")+(P25="")+(Q25="")+(S25="")+(T25="")&amp;" missing"))</f>
        <v/>
      </c>
      <c r="V25" s="82" t="n"/>
      <c r="W25" s="77" t="n"/>
      <c r="X25" s="82" t="n"/>
      <c r="Y25" s="84">
        <f>IF(C25="","",IF(L25="None",Lists!$M$2,IF(OR(L25="Broken",L25="Outdated / Poor"),Lists!$M$3,IF(L25="Basic",Lists!$M$4,0)))+IF(N(H25)&gt;=Lists!$M$12,Lists!$M$5,0)+IF(N(G25)&gt;=Lists!$M$13,Lists!$M$6,0)+IF(Q25="No",Lists!$M$7,0)+IF(O25="Active",Lists!$M$8,0)+IF(P25="Yes",Lists!$M$9,0)+IF(V25="Yes",Lists!$M$10,0)+IF(X25="Yes",Lists!$M$11,0))</f>
        <v/>
      </c>
      <c r="Z25" s="84">
        <f>IF(C25="","",IF(U25&lt;&gt;"Complete","Audit pending",IF(Y25&gt;=Lists!$M$14,"Hot",IF(Y25&gt;=Lists!$M$15,"Warm","Cold"))))</f>
        <v/>
      </c>
      <c r="AA25" s="82" t="n"/>
      <c r="AB25" s="77" t="n"/>
      <c r="AC25" s="62" t="n"/>
    </row>
    <row r="26" ht="23.85" customHeight="1" s="57">
      <c r="A26" s="76" t="inlineStr">
        <is>
          <t>GYM-04</t>
        </is>
      </c>
      <c r="B26" s="77" t="inlineStr">
        <is>
          <t>Gym / Fitness Studio</t>
        </is>
      </c>
      <c r="C26" s="62" t="n"/>
      <c r="D26" s="77" t="n"/>
      <c r="E26" s="77" t="n"/>
      <c r="F26" s="78" t="n"/>
      <c r="G26" s="79" t="n"/>
      <c r="H26" s="80" t="n"/>
      <c r="I26" s="81" t="n"/>
      <c r="J26" s="77" t="n"/>
      <c r="K26" s="77" t="n"/>
      <c r="L26" s="82" t="n"/>
      <c r="M26" s="82" t="n"/>
      <c r="N26" s="77" t="n"/>
      <c r="O26" s="82" t="n"/>
      <c r="P26" s="82" t="n"/>
      <c r="Q26" s="82" t="n"/>
      <c r="R26" s="83">
        <f>IF(B26="","",IFERROR(INDEX(Lists!$B$2:$B$6,MATCH(B26,Lists!$A$2:$A$6,0)),""))</f>
        <v/>
      </c>
      <c r="S26" s="82" t="n"/>
      <c r="T26" s="62" t="n"/>
      <c r="U26" s="76">
        <f>IF(C26="","",IF((L26="")+(M26="")+(O26="")+(P26="")+(Q26="")+(S26="")+(T26="")=0,"Complete",(L26="")+(M26="")+(O26="")+(P26="")+(Q26="")+(S26="")+(T26="")&amp;" missing"))</f>
        <v/>
      </c>
      <c r="V26" s="82" t="n"/>
      <c r="W26" s="77" t="n"/>
      <c r="X26" s="82" t="n"/>
      <c r="Y26" s="84">
        <f>IF(C26="","",IF(L26="None",Lists!$M$2,IF(OR(L26="Broken",L26="Outdated / Poor"),Lists!$M$3,IF(L26="Basic",Lists!$M$4,0)))+IF(N(H26)&gt;=Lists!$M$12,Lists!$M$5,0)+IF(N(G26)&gt;=Lists!$M$13,Lists!$M$6,0)+IF(Q26="No",Lists!$M$7,0)+IF(O26="Active",Lists!$M$8,0)+IF(P26="Yes",Lists!$M$9,0)+IF(V26="Yes",Lists!$M$10,0)+IF(X26="Yes",Lists!$M$11,0))</f>
        <v/>
      </c>
      <c r="Z26" s="84">
        <f>IF(C26="","",IF(U26&lt;&gt;"Complete","Audit pending",IF(Y26&gt;=Lists!$M$14,"Hot",IF(Y26&gt;=Lists!$M$15,"Warm","Cold"))))</f>
        <v/>
      </c>
      <c r="AA26" s="82" t="n"/>
      <c r="AB26" s="77" t="n"/>
      <c r="AC26" s="62" t="n"/>
    </row>
    <row r="27" ht="23.85" customHeight="1" s="57">
      <c r="A27" s="76" t="inlineStr">
        <is>
          <t>GYM-05</t>
        </is>
      </c>
      <c r="B27" s="77" t="inlineStr">
        <is>
          <t>Gym / Fitness Studio</t>
        </is>
      </c>
      <c r="C27" s="62" t="n"/>
      <c r="D27" s="77" t="n"/>
      <c r="E27" s="77" t="n"/>
      <c r="F27" s="78" t="n"/>
      <c r="G27" s="79" t="n"/>
      <c r="H27" s="80" t="n"/>
      <c r="I27" s="81" t="n"/>
      <c r="J27" s="77" t="n"/>
      <c r="K27" s="77" t="n"/>
      <c r="L27" s="82" t="n"/>
      <c r="M27" s="82" t="n"/>
      <c r="N27" s="77" t="n"/>
      <c r="O27" s="82" t="n"/>
      <c r="P27" s="82" t="n"/>
      <c r="Q27" s="82" t="n"/>
      <c r="R27" s="83">
        <f>IF(B27="","",IFERROR(INDEX(Lists!$B$2:$B$6,MATCH(B27,Lists!$A$2:$A$6,0)),""))</f>
        <v/>
      </c>
      <c r="S27" s="82" t="n"/>
      <c r="T27" s="62" t="n"/>
      <c r="U27" s="76">
        <f>IF(C27="","",IF((L27="")+(M27="")+(O27="")+(P27="")+(Q27="")+(S27="")+(T27="")=0,"Complete",(L27="")+(M27="")+(O27="")+(P27="")+(Q27="")+(S27="")+(T27="")&amp;" missing"))</f>
        <v/>
      </c>
      <c r="V27" s="82" t="n"/>
      <c r="W27" s="77" t="n"/>
      <c r="X27" s="82" t="n"/>
      <c r="Y27" s="84">
        <f>IF(C27="","",IF(L27="None",Lists!$M$2,IF(OR(L27="Broken",L27="Outdated / Poor"),Lists!$M$3,IF(L27="Basic",Lists!$M$4,0)))+IF(N(H27)&gt;=Lists!$M$12,Lists!$M$5,0)+IF(N(G27)&gt;=Lists!$M$13,Lists!$M$6,0)+IF(Q27="No",Lists!$M$7,0)+IF(O27="Active",Lists!$M$8,0)+IF(P27="Yes",Lists!$M$9,0)+IF(V27="Yes",Lists!$M$10,0)+IF(X27="Yes",Lists!$M$11,0))</f>
        <v/>
      </c>
      <c r="Z27" s="84">
        <f>IF(C27="","",IF(U27&lt;&gt;"Complete","Audit pending",IF(Y27&gt;=Lists!$M$14,"Hot",IF(Y27&gt;=Lists!$M$15,"Warm","Cold"))))</f>
        <v/>
      </c>
      <c r="AA27" s="82" t="n"/>
      <c r="AB27" s="77" t="n"/>
      <c r="AC27" s="62" t="n"/>
    </row>
    <row r="28" ht="23.85" customHeight="1" s="57">
      <c r="A28" s="76" t="inlineStr">
        <is>
          <t>GYM-06</t>
        </is>
      </c>
      <c r="B28" s="77" t="inlineStr">
        <is>
          <t>Gym / Fitness Studio</t>
        </is>
      </c>
      <c r="C28" s="62" t="n"/>
      <c r="D28" s="77" t="n"/>
      <c r="E28" s="77" t="n"/>
      <c r="F28" s="78" t="n"/>
      <c r="G28" s="79" t="n"/>
      <c r="H28" s="80" t="n"/>
      <c r="I28" s="81" t="n"/>
      <c r="J28" s="77" t="n"/>
      <c r="K28" s="77" t="n"/>
      <c r="L28" s="82" t="n"/>
      <c r="M28" s="82" t="n"/>
      <c r="N28" s="77" t="n"/>
      <c r="O28" s="82" t="n"/>
      <c r="P28" s="82" t="n"/>
      <c r="Q28" s="82" t="n"/>
      <c r="R28" s="83">
        <f>IF(B28="","",IFERROR(INDEX(Lists!$B$2:$B$6,MATCH(B28,Lists!$A$2:$A$6,0)),""))</f>
        <v/>
      </c>
      <c r="S28" s="82" t="n"/>
      <c r="T28" s="62" t="n"/>
      <c r="U28" s="76">
        <f>IF(C28="","",IF((L28="")+(M28="")+(O28="")+(P28="")+(Q28="")+(S28="")+(T28="")=0,"Complete",(L28="")+(M28="")+(O28="")+(P28="")+(Q28="")+(S28="")+(T28="")&amp;" missing"))</f>
        <v/>
      </c>
      <c r="V28" s="82" t="n"/>
      <c r="W28" s="77" t="n"/>
      <c r="X28" s="82" t="n"/>
      <c r="Y28" s="84">
        <f>IF(C28="","",IF(L28="None",Lists!$M$2,IF(OR(L28="Broken",L28="Outdated / Poor"),Lists!$M$3,IF(L28="Basic",Lists!$M$4,0)))+IF(N(H28)&gt;=Lists!$M$12,Lists!$M$5,0)+IF(N(G28)&gt;=Lists!$M$13,Lists!$M$6,0)+IF(Q28="No",Lists!$M$7,0)+IF(O28="Active",Lists!$M$8,0)+IF(P28="Yes",Lists!$M$9,0)+IF(V28="Yes",Lists!$M$10,0)+IF(X28="Yes",Lists!$M$11,0))</f>
        <v/>
      </c>
      <c r="Z28" s="84">
        <f>IF(C28="","",IF(U28&lt;&gt;"Complete","Audit pending",IF(Y28&gt;=Lists!$M$14,"Hot",IF(Y28&gt;=Lists!$M$15,"Warm","Cold"))))</f>
        <v/>
      </c>
      <c r="AA28" s="82" t="n"/>
      <c r="AB28" s="77" t="n"/>
      <c r="AC28" s="62" t="n"/>
    </row>
    <row r="29" ht="23.85" customHeight="1" s="57">
      <c r="A29" s="76" t="inlineStr">
        <is>
          <t>GYM-07</t>
        </is>
      </c>
      <c r="B29" s="77" t="inlineStr">
        <is>
          <t>Gym / Fitness Studio</t>
        </is>
      </c>
      <c r="C29" s="62" t="n"/>
      <c r="D29" s="77" t="n"/>
      <c r="E29" s="77" t="n"/>
      <c r="F29" s="78" t="n"/>
      <c r="G29" s="79" t="n"/>
      <c r="H29" s="80" t="n"/>
      <c r="I29" s="81" t="n"/>
      <c r="J29" s="77" t="n"/>
      <c r="K29" s="77" t="n"/>
      <c r="L29" s="82" t="n"/>
      <c r="M29" s="82" t="n"/>
      <c r="N29" s="77" t="n"/>
      <c r="O29" s="82" t="n"/>
      <c r="P29" s="82" t="n"/>
      <c r="Q29" s="82" t="n"/>
      <c r="R29" s="83">
        <f>IF(B29="","",IFERROR(INDEX(Lists!$B$2:$B$6,MATCH(B29,Lists!$A$2:$A$6,0)),""))</f>
        <v/>
      </c>
      <c r="S29" s="82" t="n"/>
      <c r="T29" s="62" t="n"/>
      <c r="U29" s="76">
        <f>IF(C29="","",IF((L29="")+(M29="")+(O29="")+(P29="")+(Q29="")+(S29="")+(T29="")=0,"Complete",(L29="")+(M29="")+(O29="")+(P29="")+(Q29="")+(S29="")+(T29="")&amp;" missing"))</f>
        <v/>
      </c>
      <c r="V29" s="82" t="n"/>
      <c r="W29" s="77" t="n"/>
      <c r="X29" s="82" t="n"/>
      <c r="Y29" s="84">
        <f>IF(C29="","",IF(L29="None",Lists!$M$2,IF(OR(L29="Broken",L29="Outdated / Poor"),Lists!$M$3,IF(L29="Basic",Lists!$M$4,0)))+IF(N(H29)&gt;=Lists!$M$12,Lists!$M$5,0)+IF(N(G29)&gt;=Lists!$M$13,Lists!$M$6,0)+IF(Q29="No",Lists!$M$7,0)+IF(O29="Active",Lists!$M$8,0)+IF(P29="Yes",Lists!$M$9,0)+IF(V29="Yes",Lists!$M$10,0)+IF(X29="Yes",Lists!$M$11,0))</f>
        <v/>
      </c>
      <c r="Z29" s="84">
        <f>IF(C29="","",IF(U29&lt;&gt;"Complete","Audit pending",IF(Y29&gt;=Lists!$M$14,"Hot",IF(Y29&gt;=Lists!$M$15,"Warm","Cold"))))</f>
        <v/>
      </c>
      <c r="AA29" s="82" t="n"/>
      <c r="AB29" s="77" t="n"/>
      <c r="AC29" s="62" t="n"/>
    </row>
    <row r="30" ht="23.85" customHeight="1" s="57">
      <c r="A30" s="76" t="inlineStr">
        <is>
          <t>GYM-08</t>
        </is>
      </c>
      <c r="B30" s="77" t="inlineStr">
        <is>
          <t>Gym / Fitness Studio</t>
        </is>
      </c>
      <c r="C30" s="62" t="n"/>
      <c r="D30" s="77" t="n"/>
      <c r="E30" s="77" t="n"/>
      <c r="F30" s="78" t="n"/>
      <c r="G30" s="79" t="n"/>
      <c r="H30" s="80" t="n"/>
      <c r="I30" s="81" t="n"/>
      <c r="J30" s="77" t="n"/>
      <c r="K30" s="77" t="n"/>
      <c r="L30" s="82" t="n"/>
      <c r="M30" s="82" t="n"/>
      <c r="N30" s="77" t="n"/>
      <c r="O30" s="82" t="n"/>
      <c r="P30" s="82" t="n"/>
      <c r="Q30" s="82" t="n"/>
      <c r="R30" s="83">
        <f>IF(B30="","",IFERROR(INDEX(Lists!$B$2:$B$6,MATCH(B30,Lists!$A$2:$A$6,0)),""))</f>
        <v/>
      </c>
      <c r="S30" s="82" t="n"/>
      <c r="T30" s="62" t="n"/>
      <c r="U30" s="76">
        <f>IF(C30="","",IF((L30="")+(M30="")+(O30="")+(P30="")+(Q30="")+(S30="")+(T30="")=0,"Complete",(L30="")+(M30="")+(O30="")+(P30="")+(Q30="")+(S30="")+(T30="")&amp;" missing"))</f>
        <v/>
      </c>
      <c r="V30" s="82" t="n"/>
      <c r="W30" s="77" t="n"/>
      <c r="X30" s="82" t="n"/>
      <c r="Y30" s="84">
        <f>IF(C30="","",IF(L30="None",Lists!$M$2,IF(OR(L30="Broken",L30="Outdated / Poor"),Lists!$M$3,IF(L30="Basic",Lists!$M$4,0)))+IF(N(H30)&gt;=Lists!$M$12,Lists!$M$5,0)+IF(N(G30)&gt;=Lists!$M$13,Lists!$M$6,0)+IF(Q30="No",Lists!$M$7,0)+IF(O30="Active",Lists!$M$8,0)+IF(P30="Yes",Lists!$M$9,0)+IF(V30="Yes",Lists!$M$10,0)+IF(X30="Yes",Lists!$M$11,0))</f>
        <v/>
      </c>
      <c r="Z30" s="84">
        <f>IF(C30="","",IF(U30&lt;&gt;"Complete","Audit pending",IF(Y30&gt;=Lists!$M$14,"Hot",IF(Y30&gt;=Lists!$M$15,"Warm","Cold"))))</f>
        <v/>
      </c>
      <c r="AA30" s="82" t="n"/>
      <c r="AB30" s="77" t="n"/>
      <c r="AC30" s="62" t="n"/>
    </row>
    <row r="31" ht="23.85" customHeight="1" s="57">
      <c r="A31" s="76" t="inlineStr">
        <is>
          <t>GYM-09</t>
        </is>
      </c>
      <c r="B31" s="77" t="inlineStr">
        <is>
          <t>Gym / Fitness Studio</t>
        </is>
      </c>
      <c r="C31" s="62" t="n"/>
      <c r="D31" s="77" t="n"/>
      <c r="E31" s="77" t="n"/>
      <c r="F31" s="78" t="n"/>
      <c r="G31" s="79" t="n"/>
      <c r="H31" s="80" t="n"/>
      <c r="I31" s="81" t="n"/>
      <c r="J31" s="77" t="n"/>
      <c r="K31" s="77" t="n"/>
      <c r="L31" s="82" t="n"/>
      <c r="M31" s="82" t="n"/>
      <c r="N31" s="77" t="n"/>
      <c r="O31" s="82" t="n"/>
      <c r="P31" s="82" t="n"/>
      <c r="Q31" s="82" t="n"/>
      <c r="R31" s="83">
        <f>IF(B31="","",IFERROR(INDEX(Lists!$B$2:$B$6,MATCH(B31,Lists!$A$2:$A$6,0)),""))</f>
        <v/>
      </c>
      <c r="S31" s="82" t="n"/>
      <c r="T31" s="62" t="n"/>
      <c r="U31" s="76">
        <f>IF(C31="","",IF((L31="")+(M31="")+(O31="")+(P31="")+(Q31="")+(S31="")+(T31="")=0,"Complete",(L31="")+(M31="")+(O31="")+(P31="")+(Q31="")+(S31="")+(T31="")&amp;" missing"))</f>
        <v/>
      </c>
      <c r="V31" s="82" t="n"/>
      <c r="W31" s="77" t="n"/>
      <c r="X31" s="82" t="n"/>
      <c r="Y31" s="84">
        <f>IF(C31="","",IF(L31="None",Lists!$M$2,IF(OR(L31="Broken",L31="Outdated / Poor"),Lists!$M$3,IF(L31="Basic",Lists!$M$4,0)))+IF(N(H31)&gt;=Lists!$M$12,Lists!$M$5,0)+IF(N(G31)&gt;=Lists!$M$13,Lists!$M$6,0)+IF(Q31="No",Lists!$M$7,0)+IF(O31="Active",Lists!$M$8,0)+IF(P31="Yes",Lists!$M$9,0)+IF(V31="Yes",Lists!$M$10,0)+IF(X31="Yes",Lists!$M$11,0))</f>
        <v/>
      </c>
      <c r="Z31" s="84">
        <f>IF(C31="","",IF(U31&lt;&gt;"Complete","Audit pending",IF(Y31&gt;=Lists!$M$14,"Hot",IF(Y31&gt;=Lists!$M$15,"Warm","Cold"))))</f>
        <v/>
      </c>
      <c r="AA31" s="82" t="n"/>
      <c r="AB31" s="77" t="n"/>
      <c r="AC31" s="62" t="n"/>
    </row>
    <row r="32" ht="23.85" customHeight="1" s="57">
      <c r="A32" s="85" t="inlineStr">
        <is>
          <t>GYM-10</t>
        </is>
      </c>
      <c r="B32" s="86" t="inlineStr">
        <is>
          <t>Gym / Fitness Studio</t>
        </is>
      </c>
      <c r="C32" s="87" t="n"/>
      <c r="D32" s="86" t="n"/>
      <c r="E32" s="86" t="n"/>
      <c r="F32" s="88" t="n"/>
      <c r="G32" s="89" t="n"/>
      <c r="H32" s="90" t="n"/>
      <c r="I32" s="91" t="n"/>
      <c r="J32" s="86" t="n"/>
      <c r="K32" s="86" t="n"/>
      <c r="L32" s="92" t="n"/>
      <c r="M32" s="92" t="n"/>
      <c r="N32" s="86" t="n"/>
      <c r="O32" s="92" t="n"/>
      <c r="P32" s="92" t="n"/>
      <c r="Q32" s="92" t="n"/>
      <c r="R32" s="93">
        <f>IF(B32="","",IFERROR(INDEX(Lists!$B$2:$B$6,MATCH(B32,Lists!$A$2:$A$6,0)),""))</f>
        <v/>
      </c>
      <c r="S32" s="92" t="n"/>
      <c r="T32" s="87" t="n"/>
      <c r="U32" s="85">
        <f>IF(C32="","",IF((L32="")+(M32="")+(O32="")+(P32="")+(Q32="")+(S32="")+(T32="")=0,"Complete",(L32="")+(M32="")+(O32="")+(P32="")+(Q32="")+(S32="")+(T32="")&amp;" missing"))</f>
        <v/>
      </c>
      <c r="V32" s="92" t="n"/>
      <c r="W32" s="86" t="n"/>
      <c r="X32" s="92" t="n"/>
      <c r="Y32" s="94">
        <f>IF(C32="","",IF(L32="None",Lists!$M$2,IF(OR(L32="Broken",L32="Outdated / Poor"),Lists!$M$3,IF(L32="Basic",Lists!$M$4,0)))+IF(N(H32)&gt;=Lists!$M$12,Lists!$M$5,0)+IF(N(G32)&gt;=Lists!$M$13,Lists!$M$6,0)+IF(Q32="No",Lists!$M$7,0)+IF(O32="Active",Lists!$M$8,0)+IF(P32="Yes",Lists!$M$9,0)+IF(V32="Yes",Lists!$M$10,0)+IF(X32="Yes",Lists!$M$11,0))</f>
        <v/>
      </c>
      <c r="Z32" s="94">
        <f>IF(C32="","",IF(U32&lt;&gt;"Complete","Audit pending",IF(Y32&gt;=Lists!$M$14,"Hot",IF(Y32&gt;=Lists!$M$15,"Warm","Cold"))))</f>
        <v/>
      </c>
      <c r="AA32" s="92" t="n"/>
      <c r="AB32" s="86" t="n"/>
      <c r="AC32" s="87" t="n"/>
    </row>
    <row r="33" ht="23.85" customHeight="1" s="57">
      <c r="A33" s="76" t="inlineStr">
        <is>
          <t>RES-01</t>
        </is>
      </c>
      <c r="B33" s="77" t="inlineStr">
        <is>
          <t>Restaurant / Cafe</t>
        </is>
      </c>
      <c r="C33" s="62" t="n"/>
      <c r="D33" s="77" t="n"/>
      <c r="E33" s="77" t="n"/>
      <c r="F33" s="78" t="n"/>
      <c r="G33" s="79" t="n"/>
      <c r="H33" s="80" t="n"/>
      <c r="I33" s="81" t="n"/>
      <c r="J33" s="77" t="n"/>
      <c r="K33" s="77" t="n"/>
      <c r="L33" s="82" t="n"/>
      <c r="M33" s="82" t="n"/>
      <c r="N33" s="77" t="n"/>
      <c r="O33" s="82" t="n"/>
      <c r="P33" s="82" t="n"/>
      <c r="Q33" s="82" t="n"/>
      <c r="R33" s="83">
        <f>IF(B33="","",IFERROR(INDEX(Lists!$B$2:$B$6,MATCH(B33,Lists!$A$2:$A$6,0)),""))</f>
        <v/>
      </c>
      <c r="S33" s="82" t="n"/>
      <c r="T33" s="62" t="n"/>
      <c r="U33" s="76">
        <f>IF(C33="","",IF((L33="")+(M33="")+(O33="")+(P33="")+(Q33="")+(S33="")+(T33="")=0,"Complete",(L33="")+(M33="")+(O33="")+(P33="")+(Q33="")+(S33="")+(T33="")&amp;" missing"))</f>
        <v/>
      </c>
      <c r="V33" s="82" t="n"/>
      <c r="W33" s="77" t="n"/>
      <c r="X33" s="82" t="n"/>
      <c r="Y33" s="84">
        <f>IF(C33="","",IF(L33="None",Lists!$M$2,IF(OR(L33="Broken",L33="Outdated / Poor"),Lists!$M$3,IF(L33="Basic",Lists!$M$4,0)))+IF(N(H33)&gt;=Lists!$M$12,Lists!$M$5,0)+IF(N(G33)&gt;=Lists!$M$13,Lists!$M$6,0)+IF(Q33="No",Lists!$M$7,0)+IF(O33="Active",Lists!$M$8,0)+IF(P33="Yes",Lists!$M$9,0)+IF(V33="Yes",Lists!$M$10,0)+IF(X33="Yes",Lists!$M$11,0))</f>
        <v/>
      </c>
      <c r="Z33" s="84">
        <f>IF(C33="","",IF(U33&lt;&gt;"Complete","Audit pending",IF(Y33&gt;=Lists!$M$14,"Hot",IF(Y33&gt;=Lists!$M$15,"Warm","Cold"))))</f>
        <v/>
      </c>
      <c r="AA33" s="82" t="n"/>
      <c r="AB33" s="77" t="n"/>
      <c r="AC33" s="62" t="n"/>
    </row>
    <row r="34" ht="23.85" customHeight="1" s="57">
      <c r="A34" s="76" t="inlineStr">
        <is>
          <t>RES-02</t>
        </is>
      </c>
      <c r="B34" s="77" t="inlineStr">
        <is>
          <t>Restaurant / Cafe</t>
        </is>
      </c>
      <c r="C34" s="62" t="n"/>
      <c r="D34" s="77" t="n"/>
      <c r="E34" s="77" t="n"/>
      <c r="F34" s="78" t="n"/>
      <c r="G34" s="79" t="n"/>
      <c r="H34" s="80" t="n"/>
      <c r="I34" s="81" t="n"/>
      <c r="J34" s="77" t="n"/>
      <c r="K34" s="77" t="n"/>
      <c r="L34" s="82" t="n"/>
      <c r="M34" s="82" t="n"/>
      <c r="N34" s="77" t="n"/>
      <c r="O34" s="82" t="n"/>
      <c r="P34" s="82" t="n"/>
      <c r="Q34" s="82" t="n"/>
      <c r="R34" s="83">
        <f>IF(B34="","",IFERROR(INDEX(Lists!$B$2:$B$6,MATCH(B34,Lists!$A$2:$A$6,0)),""))</f>
        <v/>
      </c>
      <c r="S34" s="82" t="n"/>
      <c r="T34" s="62" t="n"/>
      <c r="U34" s="76">
        <f>IF(C34="","",IF((L34="")+(M34="")+(O34="")+(P34="")+(Q34="")+(S34="")+(T34="")=0,"Complete",(L34="")+(M34="")+(O34="")+(P34="")+(Q34="")+(S34="")+(T34="")&amp;" missing"))</f>
        <v/>
      </c>
      <c r="V34" s="82" t="n"/>
      <c r="W34" s="77" t="n"/>
      <c r="X34" s="82" t="n"/>
      <c r="Y34" s="84">
        <f>IF(C34="","",IF(L34="None",Lists!$M$2,IF(OR(L34="Broken",L34="Outdated / Poor"),Lists!$M$3,IF(L34="Basic",Lists!$M$4,0)))+IF(N(H34)&gt;=Lists!$M$12,Lists!$M$5,0)+IF(N(G34)&gt;=Lists!$M$13,Lists!$M$6,0)+IF(Q34="No",Lists!$M$7,0)+IF(O34="Active",Lists!$M$8,0)+IF(P34="Yes",Lists!$M$9,0)+IF(V34="Yes",Lists!$M$10,0)+IF(X34="Yes",Lists!$M$11,0))</f>
        <v/>
      </c>
      <c r="Z34" s="84">
        <f>IF(C34="","",IF(U34&lt;&gt;"Complete","Audit pending",IF(Y34&gt;=Lists!$M$14,"Hot",IF(Y34&gt;=Lists!$M$15,"Warm","Cold"))))</f>
        <v/>
      </c>
      <c r="AA34" s="82" t="n"/>
      <c r="AB34" s="77" t="n"/>
      <c r="AC34" s="62" t="n"/>
    </row>
    <row r="35" ht="23.85" customHeight="1" s="57">
      <c r="A35" s="76" t="inlineStr">
        <is>
          <t>RES-03</t>
        </is>
      </c>
      <c r="B35" s="77" t="inlineStr">
        <is>
          <t>Restaurant / Cafe</t>
        </is>
      </c>
      <c r="C35" s="62" t="n"/>
      <c r="D35" s="77" t="n"/>
      <c r="E35" s="77" t="n"/>
      <c r="F35" s="78" t="n"/>
      <c r="G35" s="79" t="n"/>
      <c r="H35" s="80" t="n"/>
      <c r="I35" s="81" t="n"/>
      <c r="J35" s="77" t="n"/>
      <c r="K35" s="77" t="n"/>
      <c r="L35" s="82" t="n"/>
      <c r="M35" s="82" t="n"/>
      <c r="N35" s="77" t="n"/>
      <c r="O35" s="82" t="n"/>
      <c r="P35" s="82" t="n"/>
      <c r="Q35" s="82" t="n"/>
      <c r="R35" s="83">
        <f>IF(B35="","",IFERROR(INDEX(Lists!$B$2:$B$6,MATCH(B35,Lists!$A$2:$A$6,0)),""))</f>
        <v/>
      </c>
      <c r="S35" s="82" t="n"/>
      <c r="T35" s="62" t="n"/>
      <c r="U35" s="76">
        <f>IF(C35="","",IF((L35="")+(M35="")+(O35="")+(P35="")+(Q35="")+(S35="")+(T35="")=0,"Complete",(L35="")+(M35="")+(O35="")+(P35="")+(Q35="")+(S35="")+(T35="")&amp;" missing"))</f>
        <v/>
      </c>
      <c r="V35" s="82" t="n"/>
      <c r="W35" s="77" t="n"/>
      <c r="X35" s="82" t="n"/>
      <c r="Y35" s="84">
        <f>IF(C35="","",IF(L35="None",Lists!$M$2,IF(OR(L35="Broken",L35="Outdated / Poor"),Lists!$M$3,IF(L35="Basic",Lists!$M$4,0)))+IF(N(H35)&gt;=Lists!$M$12,Lists!$M$5,0)+IF(N(G35)&gt;=Lists!$M$13,Lists!$M$6,0)+IF(Q35="No",Lists!$M$7,0)+IF(O35="Active",Lists!$M$8,0)+IF(P35="Yes",Lists!$M$9,0)+IF(V35="Yes",Lists!$M$10,0)+IF(X35="Yes",Lists!$M$11,0))</f>
        <v/>
      </c>
      <c r="Z35" s="84">
        <f>IF(C35="","",IF(U35&lt;&gt;"Complete","Audit pending",IF(Y35&gt;=Lists!$M$14,"Hot",IF(Y35&gt;=Lists!$M$15,"Warm","Cold"))))</f>
        <v/>
      </c>
      <c r="AA35" s="82" t="n"/>
      <c r="AB35" s="77" t="n"/>
      <c r="AC35" s="62" t="n"/>
    </row>
    <row r="36" ht="23.85" customHeight="1" s="57">
      <c r="A36" s="76" t="inlineStr">
        <is>
          <t>RES-04</t>
        </is>
      </c>
      <c r="B36" s="77" t="inlineStr">
        <is>
          <t>Restaurant / Cafe</t>
        </is>
      </c>
      <c r="C36" s="62" t="n"/>
      <c r="D36" s="77" t="n"/>
      <c r="E36" s="77" t="n"/>
      <c r="F36" s="78" t="n"/>
      <c r="G36" s="79" t="n"/>
      <c r="H36" s="80" t="n"/>
      <c r="I36" s="81" t="n"/>
      <c r="J36" s="77" t="n"/>
      <c r="K36" s="77" t="n"/>
      <c r="L36" s="82" t="n"/>
      <c r="M36" s="82" t="n"/>
      <c r="N36" s="77" t="n"/>
      <c r="O36" s="82" t="n"/>
      <c r="P36" s="82" t="n"/>
      <c r="Q36" s="82" t="n"/>
      <c r="R36" s="83">
        <f>IF(B36="","",IFERROR(INDEX(Lists!$B$2:$B$6,MATCH(B36,Lists!$A$2:$A$6,0)),""))</f>
        <v/>
      </c>
      <c r="S36" s="82" t="n"/>
      <c r="T36" s="62" t="n"/>
      <c r="U36" s="76">
        <f>IF(C36="","",IF((L36="")+(M36="")+(O36="")+(P36="")+(Q36="")+(S36="")+(T36="")=0,"Complete",(L36="")+(M36="")+(O36="")+(P36="")+(Q36="")+(S36="")+(T36="")&amp;" missing"))</f>
        <v/>
      </c>
      <c r="V36" s="82" t="n"/>
      <c r="W36" s="77" t="n"/>
      <c r="X36" s="82" t="n"/>
      <c r="Y36" s="84">
        <f>IF(C36="","",IF(L36="None",Lists!$M$2,IF(OR(L36="Broken",L36="Outdated / Poor"),Lists!$M$3,IF(L36="Basic",Lists!$M$4,0)))+IF(N(H36)&gt;=Lists!$M$12,Lists!$M$5,0)+IF(N(G36)&gt;=Lists!$M$13,Lists!$M$6,0)+IF(Q36="No",Lists!$M$7,0)+IF(O36="Active",Lists!$M$8,0)+IF(P36="Yes",Lists!$M$9,0)+IF(V36="Yes",Lists!$M$10,0)+IF(X36="Yes",Lists!$M$11,0))</f>
        <v/>
      </c>
      <c r="Z36" s="84">
        <f>IF(C36="","",IF(U36&lt;&gt;"Complete","Audit pending",IF(Y36&gt;=Lists!$M$14,"Hot",IF(Y36&gt;=Lists!$M$15,"Warm","Cold"))))</f>
        <v/>
      </c>
      <c r="AA36" s="82" t="n"/>
      <c r="AB36" s="77" t="n"/>
      <c r="AC36" s="62" t="n"/>
    </row>
    <row r="37" ht="23.85" customHeight="1" s="57">
      <c r="A37" s="76" t="inlineStr">
        <is>
          <t>RES-05</t>
        </is>
      </c>
      <c r="B37" s="77" t="inlineStr">
        <is>
          <t>Restaurant / Cafe</t>
        </is>
      </c>
      <c r="C37" s="62" t="n"/>
      <c r="D37" s="77" t="n"/>
      <c r="E37" s="77" t="n"/>
      <c r="F37" s="78" t="n"/>
      <c r="G37" s="79" t="n"/>
      <c r="H37" s="80" t="n"/>
      <c r="I37" s="81" t="n"/>
      <c r="J37" s="77" t="n"/>
      <c r="K37" s="77" t="n"/>
      <c r="L37" s="82" t="n"/>
      <c r="M37" s="82" t="n"/>
      <c r="N37" s="77" t="n"/>
      <c r="O37" s="82" t="n"/>
      <c r="P37" s="82" t="n"/>
      <c r="Q37" s="82" t="n"/>
      <c r="R37" s="83">
        <f>IF(B37="","",IFERROR(INDEX(Lists!$B$2:$B$6,MATCH(B37,Lists!$A$2:$A$6,0)),""))</f>
        <v/>
      </c>
      <c r="S37" s="82" t="n"/>
      <c r="T37" s="62" t="n"/>
      <c r="U37" s="76">
        <f>IF(C37="","",IF((L37="")+(M37="")+(O37="")+(P37="")+(Q37="")+(S37="")+(T37="")=0,"Complete",(L37="")+(M37="")+(O37="")+(P37="")+(Q37="")+(S37="")+(T37="")&amp;" missing"))</f>
        <v/>
      </c>
      <c r="V37" s="82" t="n"/>
      <c r="W37" s="77" t="n"/>
      <c r="X37" s="82" t="n"/>
      <c r="Y37" s="84">
        <f>IF(C37="","",IF(L37="None",Lists!$M$2,IF(OR(L37="Broken",L37="Outdated / Poor"),Lists!$M$3,IF(L37="Basic",Lists!$M$4,0)))+IF(N(H37)&gt;=Lists!$M$12,Lists!$M$5,0)+IF(N(G37)&gt;=Lists!$M$13,Lists!$M$6,0)+IF(Q37="No",Lists!$M$7,0)+IF(O37="Active",Lists!$M$8,0)+IF(P37="Yes",Lists!$M$9,0)+IF(V37="Yes",Lists!$M$10,0)+IF(X37="Yes",Lists!$M$11,0))</f>
        <v/>
      </c>
      <c r="Z37" s="84">
        <f>IF(C37="","",IF(U37&lt;&gt;"Complete","Audit pending",IF(Y37&gt;=Lists!$M$14,"Hot",IF(Y37&gt;=Lists!$M$15,"Warm","Cold"))))</f>
        <v/>
      </c>
      <c r="AA37" s="82" t="n"/>
      <c r="AB37" s="77" t="n"/>
      <c r="AC37" s="62" t="n"/>
    </row>
    <row r="38" ht="23.85" customHeight="1" s="57">
      <c r="A38" s="76" t="inlineStr">
        <is>
          <t>RES-06</t>
        </is>
      </c>
      <c r="B38" s="77" t="inlineStr">
        <is>
          <t>Restaurant / Cafe</t>
        </is>
      </c>
      <c r="C38" s="62" t="n"/>
      <c r="D38" s="77" t="n"/>
      <c r="E38" s="77" t="n"/>
      <c r="F38" s="78" t="n"/>
      <c r="G38" s="79" t="n"/>
      <c r="H38" s="80" t="n"/>
      <c r="I38" s="81" t="n"/>
      <c r="J38" s="77" t="n"/>
      <c r="K38" s="77" t="n"/>
      <c r="L38" s="82" t="n"/>
      <c r="M38" s="82" t="n"/>
      <c r="N38" s="77" t="n"/>
      <c r="O38" s="82" t="n"/>
      <c r="P38" s="82" t="n"/>
      <c r="Q38" s="82" t="n"/>
      <c r="R38" s="83">
        <f>IF(B38="","",IFERROR(INDEX(Lists!$B$2:$B$6,MATCH(B38,Lists!$A$2:$A$6,0)),""))</f>
        <v/>
      </c>
      <c r="S38" s="82" t="n"/>
      <c r="T38" s="62" t="n"/>
      <c r="U38" s="76">
        <f>IF(C38="","",IF((L38="")+(M38="")+(O38="")+(P38="")+(Q38="")+(S38="")+(T38="")=0,"Complete",(L38="")+(M38="")+(O38="")+(P38="")+(Q38="")+(S38="")+(T38="")&amp;" missing"))</f>
        <v/>
      </c>
      <c r="V38" s="82" t="n"/>
      <c r="W38" s="77" t="n"/>
      <c r="X38" s="82" t="n"/>
      <c r="Y38" s="84">
        <f>IF(C38="","",IF(L38="None",Lists!$M$2,IF(OR(L38="Broken",L38="Outdated / Poor"),Lists!$M$3,IF(L38="Basic",Lists!$M$4,0)))+IF(N(H38)&gt;=Lists!$M$12,Lists!$M$5,0)+IF(N(G38)&gt;=Lists!$M$13,Lists!$M$6,0)+IF(Q38="No",Lists!$M$7,0)+IF(O38="Active",Lists!$M$8,0)+IF(P38="Yes",Lists!$M$9,0)+IF(V38="Yes",Lists!$M$10,0)+IF(X38="Yes",Lists!$M$11,0))</f>
        <v/>
      </c>
      <c r="Z38" s="84">
        <f>IF(C38="","",IF(U38&lt;&gt;"Complete","Audit pending",IF(Y38&gt;=Lists!$M$14,"Hot",IF(Y38&gt;=Lists!$M$15,"Warm","Cold"))))</f>
        <v/>
      </c>
      <c r="AA38" s="82" t="n"/>
      <c r="AB38" s="77" t="n"/>
      <c r="AC38" s="62" t="n"/>
    </row>
    <row r="39" ht="23.85" customHeight="1" s="57">
      <c r="A39" s="76" t="inlineStr">
        <is>
          <t>RES-07</t>
        </is>
      </c>
      <c r="B39" s="77" t="inlineStr">
        <is>
          <t>Restaurant / Cafe</t>
        </is>
      </c>
      <c r="C39" s="62" t="n"/>
      <c r="D39" s="77" t="n"/>
      <c r="E39" s="77" t="n"/>
      <c r="F39" s="78" t="n"/>
      <c r="G39" s="79" t="n"/>
      <c r="H39" s="80" t="n"/>
      <c r="I39" s="81" t="n"/>
      <c r="J39" s="77" t="n"/>
      <c r="K39" s="77" t="n"/>
      <c r="L39" s="82" t="n"/>
      <c r="M39" s="82" t="n"/>
      <c r="N39" s="77" t="n"/>
      <c r="O39" s="82" t="n"/>
      <c r="P39" s="82" t="n"/>
      <c r="Q39" s="82" t="n"/>
      <c r="R39" s="83">
        <f>IF(B39="","",IFERROR(INDEX(Lists!$B$2:$B$6,MATCH(B39,Lists!$A$2:$A$6,0)),""))</f>
        <v/>
      </c>
      <c r="S39" s="82" t="n"/>
      <c r="T39" s="62" t="n"/>
      <c r="U39" s="76">
        <f>IF(C39="","",IF((L39="")+(M39="")+(O39="")+(P39="")+(Q39="")+(S39="")+(T39="")=0,"Complete",(L39="")+(M39="")+(O39="")+(P39="")+(Q39="")+(S39="")+(T39="")&amp;" missing"))</f>
        <v/>
      </c>
      <c r="V39" s="82" t="n"/>
      <c r="W39" s="77" t="n"/>
      <c r="X39" s="82" t="n"/>
      <c r="Y39" s="84">
        <f>IF(C39="","",IF(L39="None",Lists!$M$2,IF(OR(L39="Broken",L39="Outdated / Poor"),Lists!$M$3,IF(L39="Basic",Lists!$M$4,0)))+IF(N(H39)&gt;=Lists!$M$12,Lists!$M$5,0)+IF(N(G39)&gt;=Lists!$M$13,Lists!$M$6,0)+IF(Q39="No",Lists!$M$7,0)+IF(O39="Active",Lists!$M$8,0)+IF(P39="Yes",Lists!$M$9,0)+IF(V39="Yes",Lists!$M$10,0)+IF(X39="Yes",Lists!$M$11,0))</f>
        <v/>
      </c>
      <c r="Z39" s="84">
        <f>IF(C39="","",IF(U39&lt;&gt;"Complete","Audit pending",IF(Y39&gt;=Lists!$M$14,"Hot",IF(Y39&gt;=Lists!$M$15,"Warm","Cold"))))</f>
        <v/>
      </c>
      <c r="AA39" s="82" t="n"/>
      <c r="AB39" s="77" t="n"/>
      <c r="AC39" s="62" t="n"/>
    </row>
    <row r="40" ht="23.85" customHeight="1" s="57">
      <c r="A40" s="76" t="inlineStr">
        <is>
          <t>RES-08</t>
        </is>
      </c>
      <c r="B40" s="77" t="inlineStr">
        <is>
          <t>Restaurant / Cafe</t>
        </is>
      </c>
      <c r="C40" s="62" t="n"/>
      <c r="D40" s="77" t="n"/>
      <c r="E40" s="77" t="n"/>
      <c r="F40" s="78" t="n"/>
      <c r="G40" s="79" t="n"/>
      <c r="H40" s="80" t="n"/>
      <c r="I40" s="81" t="n"/>
      <c r="J40" s="77" t="n"/>
      <c r="K40" s="77" t="n"/>
      <c r="L40" s="82" t="n"/>
      <c r="M40" s="82" t="n"/>
      <c r="N40" s="77" t="n"/>
      <c r="O40" s="82" t="n"/>
      <c r="P40" s="82" t="n"/>
      <c r="Q40" s="82" t="n"/>
      <c r="R40" s="83">
        <f>IF(B40="","",IFERROR(INDEX(Lists!$B$2:$B$6,MATCH(B40,Lists!$A$2:$A$6,0)),""))</f>
        <v/>
      </c>
      <c r="S40" s="82" t="n"/>
      <c r="T40" s="62" t="n"/>
      <c r="U40" s="76">
        <f>IF(C40="","",IF((L40="")+(M40="")+(O40="")+(P40="")+(Q40="")+(S40="")+(T40="")=0,"Complete",(L40="")+(M40="")+(O40="")+(P40="")+(Q40="")+(S40="")+(T40="")&amp;" missing"))</f>
        <v/>
      </c>
      <c r="V40" s="82" t="n"/>
      <c r="W40" s="77" t="n"/>
      <c r="X40" s="82" t="n"/>
      <c r="Y40" s="84">
        <f>IF(C40="","",IF(L40="None",Lists!$M$2,IF(OR(L40="Broken",L40="Outdated / Poor"),Lists!$M$3,IF(L40="Basic",Lists!$M$4,0)))+IF(N(H40)&gt;=Lists!$M$12,Lists!$M$5,0)+IF(N(G40)&gt;=Lists!$M$13,Lists!$M$6,0)+IF(Q40="No",Lists!$M$7,0)+IF(O40="Active",Lists!$M$8,0)+IF(P40="Yes",Lists!$M$9,0)+IF(V40="Yes",Lists!$M$10,0)+IF(X40="Yes",Lists!$M$11,0))</f>
        <v/>
      </c>
      <c r="Z40" s="84">
        <f>IF(C40="","",IF(U40&lt;&gt;"Complete","Audit pending",IF(Y40&gt;=Lists!$M$14,"Hot",IF(Y40&gt;=Lists!$M$15,"Warm","Cold"))))</f>
        <v/>
      </c>
      <c r="AA40" s="82" t="n"/>
      <c r="AB40" s="77" t="n"/>
      <c r="AC40" s="62" t="n"/>
    </row>
    <row r="41" ht="23.85" customHeight="1" s="57">
      <c r="A41" s="76" t="inlineStr">
        <is>
          <t>RES-09</t>
        </is>
      </c>
      <c r="B41" s="77" t="inlineStr">
        <is>
          <t>Restaurant / Cafe</t>
        </is>
      </c>
      <c r="C41" s="62" t="n"/>
      <c r="D41" s="77" t="n"/>
      <c r="E41" s="77" t="n"/>
      <c r="F41" s="78" t="n"/>
      <c r="G41" s="79" t="n"/>
      <c r="H41" s="80" t="n"/>
      <c r="I41" s="81" t="n"/>
      <c r="J41" s="77" t="n"/>
      <c r="K41" s="77" t="n"/>
      <c r="L41" s="82" t="n"/>
      <c r="M41" s="82" t="n"/>
      <c r="N41" s="77" t="n"/>
      <c r="O41" s="82" t="n"/>
      <c r="P41" s="82" t="n"/>
      <c r="Q41" s="82" t="n"/>
      <c r="R41" s="83">
        <f>IF(B41="","",IFERROR(INDEX(Lists!$B$2:$B$6,MATCH(B41,Lists!$A$2:$A$6,0)),""))</f>
        <v/>
      </c>
      <c r="S41" s="82" t="n"/>
      <c r="T41" s="62" t="n"/>
      <c r="U41" s="76">
        <f>IF(C41="","",IF((L41="")+(M41="")+(O41="")+(P41="")+(Q41="")+(S41="")+(T41="")=0,"Complete",(L41="")+(M41="")+(O41="")+(P41="")+(Q41="")+(S41="")+(T41="")&amp;" missing"))</f>
        <v/>
      </c>
      <c r="V41" s="82" t="n"/>
      <c r="W41" s="77" t="n"/>
      <c r="X41" s="82" t="n"/>
      <c r="Y41" s="84">
        <f>IF(C41="","",IF(L41="None",Lists!$M$2,IF(OR(L41="Broken",L41="Outdated / Poor"),Lists!$M$3,IF(L41="Basic",Lists!$M$4,0)))+IF(N(H41)&gt;=Lists!$M$12,Lists!$M$5,0)+IF(N(G41)&gt;=Lists!$M$13,Lists!$M$6,0)+IF(Q41="No",Lists!$M$7,0)+IF(O41="Active",Lists!$M$8,0)+IF(P41="Yes",Lists!$M$9,0)+IF(V41="Yes",Lists!$M$10,0)+IF(X41="Yes",Lists!$M$11,0))</f>
        <v/>
      </c>
      <c r="Z41" s="84">
        <f>IF(C41="","",IF(U41&lt;&gt;"Complete","Audit pending",IF(Y41&gt;=Lists!$M$14,"Hot",IF(Y41&gt;=Lists!$M$15,"Warm","Cold"))))</f>
        <v/>
      </c>
      <c r="AA41" s="82" t="n"/>
      <c r="AB41" s="77" t="n"/>
      <c r="AC41" s="62" t="n"/>
    </row>
    <row r="42" ht="23.85" customHeight="1" s="57">
      <c r="A42" s="85" t="inlineStr">
        <is>
          <t>RES-10</t>
        </is>
      </c>
      <c r="B42" s="86" t="inlineStr">
        <is>
          <t>Restaurant / Cafe</t>
        </is>
      </c>
      <c r="C42" s="87" t="n"/>
      <c r="D42" s="86" t="n"/>
      <c r="E42" s="86" t="n"/>
      <c r="F42" s="88" t="n"/>
      <c r="G42" s="89" t="n"/>
      <c r="H42" s="90" t="n"/>
      <c r="I42" s="91" t="n"/>
      <c r="J42" s="86" t="n"/>
      <c r="K42" s="86" t="n"/>
      <c r="L42" s="92" t="n"/>
      <c r="M42" s="92" t="n"/>
      <c r="N42" s="86" t="n"/>
      <c r="O42" s="92" t="n"/>
      <c r="P42" s="92" t="n"/>
      <c r="Q42" s="92" t="n"/>
      <c r="R42" s="93">
        <f>IF(B42="","",IFERROR(INDEX(Lists!$B$2:$B$6,MATCH(B42,Lists!$A$2:$A$6,0)),""))</f>
        <v/>
      </c>
      <c r="S42" s="92" t="n"/>
      <c r="T42" s="87" t="n"/>
      <c r="U42" s="85">
        <f>IF(C42="","",IF((L42="")+(M42="")+(O42="")+(P42="")+(Q42="")+(S42="")+(T42="")=0,"Complete",(L42="")+(M42="")+(O42="")+(P42="")+(Q42="")+(S42="")+(T42="")&amp;" missing"))</f>
        <v/>
      </c>
      <c r="V42" s="92" t="n"/>
      <c r="W42" s="86" t="n"/>
      <c r="X42" s="92" t="n"/>
      <c r="Y42" s="94">
        <f>IF(C42="","",IF(L42="None",Lists!$M$2,IF(OR(L42="Broken",L42="Outdated / Poor"),Lists!$M$3,IF(L42="Basic",Lists!$M$4,0)))+IF(N(H42)&gt;=Lists!$M$12,Lists!$M$5,0)+IF(N(G42)&gt;=Lists!$M$13,Lists!$M$6,0)+IF(Q42="No",Lists!$M$7,0)+IF(O42="Active",Lists!$M$8,0)+IF(P42="Yes",Lists!$M$9,0)+IF(V42="Yes",Lists!$M$10,0)+IF(X42="Yes",Lists!$M$11,0))</f>
        <v/>
      </c>
      <c r="Z42" s="94">
        <f>IF(C42="","",IF(U42&lt;&gt;"Complete","Audit pending",IF(Y42&gt;=Lists!$M$14,"Hot",IF(Y42&gt;=Lists!$M$15,"Warm","Cold"))))</f>
        <v/>
      </c>
      <c r="AA42" s="92" t="n"/>
      <c r="AB42" s="86" t="n"/>
      <c r="AC42" s="87" t="n"/>
    </row>
    <row r="43" ht="23.85" customHeight="1" s="57">
      <c r="A43" s="76" t="inlineStr">
        <is>
          <t>TRF-01</t>
        </is>
      </c>
      <c r="B43" s="77" t="inlineStr">
        <is>
          <t>Football Turf</t>
        </is>
      </c>
      <c r="C43" s="62" t="n"/>
      <c r="D43" s="77" t="n"/>
      <c r="E43" s="77" t="n"/>
      <c r="F43" s="78" t="n"/>
      <c r="G43" s="79" t="n"/>
      <c r="H43" s="80" t="n"/>
      <c r="I43" s="81" t="n"/>
      <c r="J43" s="77" t="n"/>
      <c r="K43" s="77" t="n"/>
      <c r="L43" s="82" t="n"/>
      <c r="M43" s="82" t="n"/>
      <c r="N43" s="77" t="n"/>
      <c r="O43" s="82" t="n"/>
      <c r="P43" s="82" t="n"/>
      <c r="Q43" s="82" t="n"/>
      <c r="R43" s="83">
        <f>IF(B43="","",IFERROR(INDEX(Lists!$B$2:$B$6,MATCH(B43,Lists!$A$2:$A$6,0)),""))</f>
        <v/>
      </c>
      <c r="S43" s="82" t="n"/>
      <c r="T43" s="62" t="n"/>
      <c r="U43" s="76">
        <f>IF(C43="","",IF((L43="")+(M43="")+(O43="")+(P43="")+(Q43="")+(S43="")+(T43="")=0,"Complete",(L43="")+(M43="")+(O43="")+(P43="")+(Q43="")+(S43="")+(T43="")&amp;" missing"))</f>
        <v/>
      </c>
      <c r="V43" s="82" t="n"/>
      <c r="W43" s="77" t="n"/>
      <c r="X43" s="82" t="n"/>
      <c r="Y43" s="84">
        <f>IF(C43="","",IF(L43="None",Lists!$M$2,IF(OR(L43="Broken",L43="Outdated / Poor"),Lists!$M$3,IF(L43="Basic",Lists!$M$4,0)))+IF(N(H43)&gt;=Lists!$M$12,Lists!$M$5,0)+IF(N(G43)&gt;=Lists!$M$13,Lists!$M$6,0)+IF(Q43="No",Lists!$M$7,0)+IF(O43="Active",Lists!$M$8,0)+IF(P43="Yes",Lists!$M$9,0)+IF(V43="Yes",Lists!$M$10,0)+IF(X43="Yes",Lists!$M$11,0))</f>
        <v/>
      </c>
      <c r="Z43" s="84">
        <f>IF(C43="","",IF(U43&lt;&gt;"Complete","Audit pending",IF(Y43&gt;=Lists!$M$14,"Hot",IF(Y43&gt;=Lists!$M$15,"Warm","Cold"))))</f>
        <v/>
      </c>
      <c r="AA43" s="82" t="n"/>
      <c r="AB43" s="77" t="n"/>
      <c r="AC43" s="62" t="n"/>
    </row>
    <row r="44" ht="23.85" customHeight="1" s="57">
      <c r="A44" s="76" t="inlineStr">
        <is>
          <t>TRF-02</t>
        </is>
      </c>
      <c r="B44" s="77" t="inlineStr">
        <is>
          <t>Football Turf</t>
        </is>
      </c>
      <c r="C44" s="62" t="n"/>
      <c r="D44" s="77" t="n"/>
      <c r="E44" s="77" t="n"/>
      <c r="F44" s="78" t="n"/>
      <c r="G44" s="79" t="n"/>
      <c r="H44" s="80" t="n"/>
      <c r="I44" s="81" t="n"/>
      <c r="J44" s="77" t="n"/>
      <c r="K44" s="77" t="n"/>
      <c r="L44" s="82" t="n"/>
      <c r="M44" s="82" t="n"/>
      <c r="N44" s="77" t="n"/>
      <c r="O44" s="82" t="n"/>
      <c r="P44" s="82" t="n"/>
      <c r="Q44" s="82" t="n"/>
      <c r="R44" s="83">
        <f>IF(B44="","",IFERROR(INDEX(Lists!$B$2:$B$6,MATCH(B44,Lists!$A$2:$A$6,0)),""))</f>
        <v/>
      </c>
      <c r="S44" s="82" t="n"/>
      <c r="T44" s="62" t="n"/>
      <c r="U44" s="76">
        <f>IF(C44="","",IF((L44="")+(M44="")+(O44="")+(P44="")+(Q44="")+(S44="")+(T44="")=0,"Complete",(L44="")+(M44="")+(O44="")+(P44="")+(Q44="")+(S44="")+(T44="")&amp;" missing"))</f>
        <v/>
      </c>
      <c r="V44" s="82" t="n"/>
      <c r="W44" s="77" t="n"/>
      <c r="X44" s="82" t="n"/>
      <c r="Y44" s="84">
        <f>IF(C44="","",IF(L44="None",Lists!$M$2,IF(OR(L44="Broken",L44="Outdated / Poor"),Lists!$M$3,IF(L44="Basic",Lists!$M$4,0)))+IF(N(H44)&gt;=Lists!$M$12,Lists!$M$5,0)+IF(N(G44)&gt;=Lists!$M$13,Lists!$M$6,0)+IF(Q44="No",Lists!$M$7,0)+IF(O44="Active",Lists!$M$8,0)+IF(P44="Yes",Lists!$M$9,0)+IF(V44="Yes",Lists!$M$10,0)+IF(X44="Yes",Lists!$M$11,0))</f>
        <v/>
      </c>
      <c r="Z44" s="84">
        <f>IF(C44="","",IF(U44&lt;&gt;"Complete","Audit pending",IF(Y44&gt;=Lists!$M$14,"Hot",IF(Y44&gt;=Lists!$M$15,"Warm","Cold"))))</f>
        <v/>
      </c>
      <c r="AA44" s="82" t="n"/>
      <c r="AB44" s="77" t="n"/>
      <c r="AC44" s="62" t="n"/>
    </row>
    <row r="45" ht="23.85" customHeight="1" s="57">
      <c r="A45" s="76" t="inlineStr">
        <is>
          <t>TRF-03</t>
        </is>
      </c>
      <c r="B45" s="77" t="inlineStr">
        <is>
          <t>Football Turf</t>
        </is>
      </c>
      <c r="C45" s="62" t="n"/>
      <c r="D45" s="77" t="n"/>
      <c r="E45" s="77" t="n"/>
      <c r="F45" s="78" t="n"/>
      <c r="G45" s="79" t="n"/>
      <c r="H45" s="80" t="n"/>
      <c r="I45" s="81" t="n"/>
      <c r="J45" s="77" t="n"/>
      <c r="K45" s="77" t="n"/>
      <c r="L45" s="82" t="n"/>
      <c r="M45" s="82" t="n"/>
      <c r="N45" s="77" t="n"/>
      <c r="O45" s="82" t="n"/>
      <c r="P45" s="82" t="n"/>
      <c r="Q45" s="82" t="n"/>
      <c r="R45" s="83">
        <f>IF(B45="","",IFERROR(INDEX(Lists!$B$2:$B$6,MATCH(B45,Lists!$A$2:$A$6,0)),""))</f>
        <v/>
      </c>
      <c r="S45" s="82" t="n"/>
      <c r="T45" s="62" t="n"/>
      <c r="U45" s="76">
        <f>IF(C45="","",IF((L45="")+(M45="")+(O45="")+(P45="")+(Q45="")+(S45="")+(T45="")=0,"Complete",(L45="")+(M45="")+(O45="")+(P45="")+(Q45="")+(S45="")+(T45="")&amp;" missing"))</f>
        <v/>
      </c>
      <c r="V45" s="82" t="n"/>
      <c r="W45" s="77" t="n"/>
      <c r="X45" s="82" t="n"/>
      <c r="Y45" s="84">
        <f>IF(C45="","",IF(L45="None",Lists!$M$2,IF(OR(L45="Broken",L45="Outdated / Poor"),Lists!$M$3,IF(L45="Basic",Lists!$M$4,0)))+IF(N(H45)&gt;=Lists!$M$12,Lists!$M$5,0)+IF(N(G45)&gt;=Lists!$M$13,Lists!$M$6,0)+IF(Q45="No",Lists!$M$7,0)+IF(O45="Active",Lists!$M$8,0)+IF(P45="Yes",Lists!$M$9,0)+IF(V45="Yes",Lists!$M$10,0)+IF(X45="Yes",Lists!$M$11,0))</f>
        <v/>
      </c>
      <c r="Z45" s="84">
        <f>IF(C45="","",IF(U45&lt;&gt;"Complete","Audit pending",IF(Y45&gt;=Lists!$M$14,"Hot",IF(Y45&gt;=Lists!$M$15,"Warm","Cold"))))</f>
        <v/>
      </c>
      <c r="AA45" s="82" t="n"/>
      <c r="AB45" s="77" t="n"/>
      <c r="AC45" s="62" t="n"/>
    </row>
    <row r="46" ht="23.85" customHeight="1" s="57">
      <c r="A46" s="76" t="inlineStr">
        <is>
          <t>TRF-04</t>
        </is>
      </c>
      <c r="B46" s="77" t="inlineStr">
        <is>
          <t>Football Turf</t>
        </is>
      </c>
      <c r="C46" s="62" t="n"/>
      <c r="D46" s="77" t="n"/>
      <c r="E46" s="77" t="n"/>
      <c r="F46" s="78" t="n"/>
      <c r="G46" s="79" t="n"/>
      <c r="H46" s="80" t="n"/>
      <c r="I46" s="81" t="n"/>
      <c r="J46" s="77" t="n"/>
      <c r="K46" s="77" t="n"/>
      <c r="L46" s="82" t="n"/>
      <c r="M46" s="82" t="n"/>
      <c r="N46" s="77" t="n"/>
      <c r="O46" s="82" t="n"/>
      <c r="P46" s="82" t="n"/>
      <c r="Q46" s="82" t="n"/>
      <c r="R46" s="83">
        <f>IF(B46="","",IFERROR(INDEX(Lists!$B$2:$B$6,MATCH(B46,Lists!$A$2:$A$6,0)),""))</f>
        <v/>
      </c>
      <c r="S46" s="82" t="n"/>
      <c r="T46" s="62" t="n"/>
      <c r="U46" s="76">
        <f>IF(C46="","",IF((L46="")+(M46="")+(O46="")+(P46="")+(Q46="")+(S46="")+(T46="")=0,"Complete",(L46="")+(M46="")+(O46="")+(P46="")+(Q46="")+(S46="")+(T46="")&amp;" missing"))</f>
        <v/>
      </c>
      <c r="V46" s="82" t="n"/>
      <c r="W46" s="77" t="n"/>
      <c r="X46" s="82" t="n"/>
      <c r="Y46" s="84">
        <f>IF(C46="","",IF(L46="None",Lists!$M$2,IF(OR(L46="Broken",L46="Outdated / Poor"),Lists!$M$3,IF(L46="Basic",Lists!$M$4,0)))+IF(N(H46)&gt;=Lists!$M$12,Lists!$M$5,0)+IF(N(G46)&gt;=Lists!$M$13,Lists!$M$6,0)+IF(Q46="No",Lists!$M$7,0)+IF(O46="Active",Lists!$M$8,0)+IF(P46="Yes",Lists!$M$9,0)+IF(V46="Yes",Lists!$M$10,0)+IF(X46="Yes",Lists!$M$11,0))</f>
        <v/>
      </c>
      <c r="Z46" s="84">
        <f>IF(C46="","",IF(U46&lt;&gt;"Complete","Audit pending",IF(Y46&gt;=Lists!$M$14,"Hot",IF(Y46&gt;=Lists!$M$15,"Warm","Cold"))))</f>
        <v/>
      </c>
      <c r="AA46" s="82" t="n"/>
      <c r="AB46" s="77" t="n"/>
      <c r="AC46" s="62" t="n"/>
    </row>
    <row r="47" ht="23.85" customHeight="1" s="57">
      <c r="A47" s="76" t="inlineStr">
        <is>
          <t>TRF-05</t>
        </is>
      </c>
      <c r="B47" s="77" t="inlineStr">
        <is>
          <t>Football Turf</t>
        </is>
      </c>
      <c r="C47" s="62" t="n"/>
      <c r="D47" s="77" t="n"/>
      <c r="E47" s="77" t="n"/>
      <c r="F47" s="78" t="n"/>
      <c r="G47" s="79" t="n"/>
      <c r="H47" s="80" t="n"/>
      <c r="I47" s="81" t="n"/>
      <c r="J47" s="77" t="n"/>
      <c r="K47" s="77" t="n"/>
      <c r="L47" s="82" t="n"/>
      <c r="M47" s="82" t="n"/>
      <c r="N47" s="77" t="n"/>
      <c r="O47" s="82" t="n"/>
      <c r="P47" s="82" t="n"/>
      <c r="Q47" s="82" t="n"/>
      <c r="R47" s="83">
        <f>IF(B47="","",IFERROR(INDEX(Lists!$B$2:$B$6,MATCH(B47,Lists!$A$2:$A$6,0)),""))</f>
        <v/>
      </c>
      <c r="S47" s="82" t="n"/>
      <c r="T47" s="62" t="n"/>
      <c r="U47" s="76">
        <f>IF(C47="","",IF((L47="")+(M47="")+(O47="")+(P47="")+(Q47="")+(S47="")+(T47="")=0,"Complete",(L47="")+(M47="")+(O47="")+(P47="")+(Q47="")+(S47="")+(T47="")&amp;" missing"))</f>
        <v/>
      </c>
      <c r="V47" s="82" t="n"/>
      <c r="W47" s="77" t="n"/>
      <c r="X47" s="82" t="n"/>
      <c r="Y47" s="84">
        <f>IF(C47="","",IF(L47="None",Lists!$M$2,IF(OR(L47="Broken",L47="Outdated / Poor"),Lists!$M$3,IF(L47="Basic",Lists!$M$4,0)))+IF(N(H47)&gt;=Lists!$M$12,Lists!$M$5,0)+IF(N(G47)&gt;=Lists!$M$13,Lists!$M$6,0)+IF(Q47="No",Lists!$M$7,0)+IF(O47="Active",Lists!$M$8,0)+IF(P47="Yes",Lists!$M$9,0)+IF(V47="Yes",Lists!$M$10,0)+IF(X47="Yes",Lists!$M$11,0))</f>
        <v/>
      </c>
      <c r="Z47" s="84">
        <f>IF(C47="","",IF(U47&lt;&gt;"Complete","Audit pending",IF(Y47&gt;=Lists!$M$14,"Hot",IF(Y47&gt;=Lists!$M$15,"Warm","Cold"))))</f>
        <v/>
      </c>
      <c r="AA47" s="82" t="n"/>
      <c r="AB47" s="77" t="n"/>
      <c r="AC47" s="62" t="n"/>
    </row>
    <row r="48" ht="23.85" customHeight="1" s="57">
      <c r="A48" s="76" t="inlineStr">
        <is>
          <t>TRF-06</t>
        </is>
      </c>
      <c r="B48" s="77" t="inlineStr">
        <is>
          <t>Football Turf</t>
        </is>
      </c>
      <c r="C48" s="62" t="n"/>
      <c r="D48" s="77" t="n"/>
      <c r="E48" s="77" t="n"/>
      <c r="F48" s="78" t="n"/>
      <c r="G48" s="79" t="n"/>
      <c r="H48" s="80" t="n"/>
      <c r="I48" s="81" t="n"/>
      <c r="J48" s="77" t="n"/>
      <c r="K48" s="77" t="n"/>
      <c r="L48" s="82" t="n"/>
      <c r="M48" s="82" t="n"/>
      <c r="N48" s="77" t="n"/>
      <c r="O48" s="82" t="n"/>
      <c r="P48" s="82" t="n"/>
      <c r="Q48" s="82" t="n"/>
      <c r="R48" s="83">
        <f>IF(B48="","",IFERROR(INDEX(Lists!$B$2:$B$6,MATCH(B48,Lists!$A$2:$A$6,0)),""))</f>
        <v/>
      </c>
      <c r="S48" s="82" t="n"/>
      <c r="T48" s="62" t="n"/>
      <c r="U48" s="76">
        <f>IF(C48="","",IF((L48="")+(M48="")+(O48="")+(P48="")+(Q48="")+(S48="")+(T48="")=0,"Complete",(L48="")+(M48="")+(O48="")+(P48="")+(Q48="")+(S48="")+(T48="")&amp;" missing"))</f>
        <v/>
      </c>
      <c r="V48" s="82" t="n"/>
      <c r="W48" s="77" t="n"/>
      <c r="X48" s="82" t="n"/>
      <c r="Y48" s="84">
        <f>IF(C48="","",IF(L48="None",Lists!$M$2,IF(OR(L48="Broken",L48="Outdated / Poor"),Lists!$M$3,IF(L48="Basic",Lists!$M$4,0)))+IF(N(H48)&gt;=Lists!$M$12,Lists!$M$5,0)+IF(N(G48)&gt;=Lists!$M$13,Lists!$M$6,0)+IF(Q48="No",Lists!$M$7,0)+IF(O48="Active",Lists!$M$8,0)+IF(P48="Yes",Lists!$M$9,0)+IF(V48="Yes",Lists!$M$10,0)+IF(X48="Yes",Lists!$M$11,0))</f>
        <v/>
      </c>
      <c r="Z48" s="84">
        <f>IF(C48="","",IF(U48&lt;&gt;"Complete","Audit pending",IF(Y48&gt;=Lists!$M$14,"Hot",IF(Y48&gt;=Lists!$M$15,"Warm","Cold"))))</f>
        <v/>
      </c>
      <c r="AA48" s="82" t="n"/>
      <c r="AB48" s="77" t="n"/>
      <c r="AC48" s="62" t="n"/>
    </row>
    <row r="49" ht="23.85" customHeight="1" s="57">
      <c r="A49" s="76" t="inlineStr">
        <is>
          <t>TRF-07</t>
        </is>
      </c>
      <c r="B49" s="77" t="inlineStr">
        <is>
          <t>Football Turf</t>
        </is>
      </c>
      <c r="C49" s="62" t="n"/>
      <c r="D49" s="77" t="n"/>
      <c r="E49" s="77" t="n"/>
      <c r="F49" s="78" t="n"/>
      <c r="G49" s="79" t="n"/>
      <c r="H49" s="80" t="n"/>
      <c r="I49" s="81" t="n"/>
      <c r="J49" s="77" t="n"/>
      <c r="K49" s="77" t="n"/>
      <c r="L49" s="82" t="n"/>
      <c r="M49" s="82" t="n"/>
      <c r="N49" s="77" t="n"/>
      <c r="O49" s="82" t="n"/>
      <c r="P49" s="82" t="n"/>
      <c r="Q49" s="82" t="n"/>
      <c r="R49" s="83">
        <f>IF(B49="","",IFERROR(INDEX(Lists!$B$2:$B$6,MATCH(B49,Lists!$A$2:$A$6,0)),""))</f>
        <v/>
      </c>
      <c r="S49" s="82" t="n"/>
      <c r="T49" s="62" t="n"/>
      <c r="U49" s="76">
        <f>IF(C49="","",IF((L49="")+(M49="")+(O49="")+(P49="")+(Q49="")+(S49="")+(T49="")=0,"Complete",(L49="")+(M49="")+(O49="")+(P49="")+(Q49="")+(S49="")+(T49="")&amp;" missing"))</f>
        <v/>
      </c>
      <c r="V49" s="82" t="n"/>
      <c r="W49" s="77" t="n"/>
      <c r="X49" s="82" t="n"/>
      <c r="Y49" s="84">
        <f>IF(C49="","",IF(L49="None",Lists!$M$2,IF(OR(L49="Broken",L49="Outdated / Poor"),Lists!$M$3,IF(L49="Basic",Lists!$M$4,0)))+IF(N(H49)&gt;=Lists!$M$12,Lists!$M$5,0)+IF(N(G49)&gt;=Lists!$M$13,Lists!$M$6,0)+IF(Q49="No",Lists!$M$7,0)+IF(O49="Active",Lists!$M$8,0)+IF(P49="Yes",Lists!$M$9,0)+IF(V49="Yes",Lists!$M$10,0)+IF(X49="Yes",Lists!$M$11,0))</f>
        <v/>
      </c>
      <c r="Z49" s="84">
        <f>IF(C49="","",IF(U49&lt;&gt;"Complete","Audit pending",IF(Y49&gt;=Lists!$M$14,"Hot",IF(Y49&gt;=Lists!$M$15,"Warm","Cold"))))</f>
        <v/>
      </c>
      <c r="AA49" s="82" t="n"/>
      <c r="AB49" s="77" t="n"/>
      <c r="AC49" s="62" t="n"/>
    </row>
    <row r="50" ht="23.85" customHeight="1" s="57">
      <c r="A50" s="76" t="inlineStr">
        <is>
          <t>TRF-08</t>
        </is>
      </c>
      <c r="B50" s="77" t="inlineStr">
        <is>
          <t>Football Turf</t>
        </is>
      </c>
      <c r="C50" s="62" t="n"/>
      <c r="D50" s="77" t="n"/>
      <c r="E50" s="77" t="n"/>
      <c r="F50" s="78" t="n"/>
      <c r="G50" s="79" t="n"/>
      <c r="H50" s="80" t="n"/>
      <c r="I50" s="81" t="n"/>
      <c r="J50" s="77" t="n"/>
      <c r="K50" s="77" t="n"/>
      <c r="L50" s="82" t="n"/>
      <c r="M50" s="82" t="n"/>
      <c r="N50" s="77" t="n"/>
      <c r="O50" s="82" t="n"/>
      <c r="P50" s="82" t="n"/>
      <c r="Q50" s="82" t="n"/>
      <c r="R50" s="83">
        <f>IF(B50="","",IFERROR(INDEX(Lists!$B$2:$B$6,MATCH(B50,Lists!$A$2:$A$6,0)),""))</f>
        <v/>
      </c>
      <c r="S50" s="82" t="n"/>
      <c r="T50" s="62" t="n"/>
      <c r="U50" s="76">
        <f>IF(C50="","",IF((L50="")+(M50="")+(O50="")+(P50="")+(Q50="")+(S50="")+(T50="")=0,"Complete",(L50="")+(M50="")+(O50="")+(P50="")+(Q50="")+(S50="")+(T50="")&amp;" missing"))</f>
        <v/>
      </c>
      <c r="V50" s="82" t="n"/>
      <c r="W50" s="77" t="n"/>
      <c r="X50" s="82" t="n"/>
      <c r="Y50" s="84">
        <f>IF(C50="","",IF(L50="None",Lists!$M$2,IF(OR(L50="Broken",L50="Outdated / Poor"),Lists!$M$3,IF(L50="Basic",Lists!$M$4,0)))+IF(N(H50)&gt;=Lists!$M$12,Lists!$M$5,0)+IF(N(G50)&gt;=Lists!$M$13,Lists!$M$6,0)+IF(Q50="No",Lists!$M$7,0)+IF(O50="Active",Lists!$M$8,0)+IF(P50="Yes",Lists!$M$9,0)+IF(V50="Yes",Lists!$M$10,0)+IF(X50="Yes",Lists!$M$11,0))</f>
        <v/>
      </c>
      <c r="Z50" s="84">
        <f>IF(C50="","",IF(U50&lt;&gt;"Complete","Audit pending",IF(Y50&gt;=Lists!$M$14,"Hot",IF(Y50&gt;=Lists!$M$15,"Warm","Cold"))))</f>
        <v/>
      </c>
      <c r="AA50" s="82" t="n"/>
      <c r="AB50" s="77" t="n"/>
      <c r="AC50" s="62" t="n"/>
    </row>
    <row r="51" ht="23.85" customHeight="1" s="57">
      <c r="A51" s="76" t="inlineStr">
        <is>
          <t>TRF-09</t>
        </is>
      </c>
      <c r="B51" s="77" t="inlineStr">
        <is>
          <t>Football Turf</t>
        </is>
      </c>
      <c r="C51" s="62" t="n"/>
      <c r="D51" s="77" t="n"/>
      <c r="E51" s="77" t="n"/>
      <c r="F51" s="78" t="n"/>
      <c r="G51" s="79" t="n"/>
      <c r="H51" s="80" t="n"/>
      <c r="I51" s="81" t="n"/>
      <c r="J51" s="77" t="n"/>
      <c r="K51" s="77" t="n"/>
      <c r="L51" s="82" t="n"/>
      <c r="M51" s="82" t="n"/>
      <c r="N51" s="77" t="n"/>
      <c r="O51" s="82" t="n"/>
      <c r="P51" s="82" t="n"/>
      <c r="Q51" s="82" t="n"/>
      <c r="R51" s="83">
        <f>IF(B51="","",IFERROR(INDEX(Lists!$B$2:$B$6,MATCH(B51,Lists!$A$2:$A$6,0)),""))</f>
        <v/>
      </c>
      <c r="S51" s="82" t="n"/>
      <c r="T51" s="62" t="n"/>
      <c r="U51" s="76">
        <f>IF(C51="","",IF((L51="")+(M51="")+(O51="")+(P51="")+(Q51="")+(S51="")+(T51="")=0,"Complete",(L51="")+(M51="")+(O51="")+(P51="")+(Q51="")+(S51="")+(T51="")&amp;" missing"))</f>
        <v/>
      </c>
      <c r="V51" s="82" t="n"/>
      <c r="W51" s="77" t="n"/>
      <c r="X51" s="82" t="n"/>
      <c r="Y51" s="84">
        <f>IF(C51="","",IF(L51="None",Lists!$M$2,IF(OR(L51="Broken",L51="Outdated / Poor"),Lists!$M$3,IF(L51="Basic",Lists!$M$4,0)))+IF(N(H51)&gt;=Lists!$M$12,Lists!$M$5,0)+IF(N(G51)&gt;=Lists!$M$13,Lists!$M$6,0)+IF(Q51="No",Lists!$M$7,0)+IF(O51="Active",Lists!$M$8,0)+IF(P51="Yes",Lists!$M$9,0)+IF(V51="Yes",Lists!$M$10,0)+IF(X51="Yes",Lists!$M$11,0))</f>
        <v/>
      </c>
      <c r="Z51" s="84">
        <f>IF(C51="","",IF(U51&lt;&gt;"Complete","Audit pending",IF(Y51&gt;=Lists!$M$14,"Hot",IF(Y51&gt;=Lists!$M$15,"Warm","Cold"))))</f>
        <v/>
      </c>
      <c r="AA51" s="82" t="n"/>
      <c r="AB51" s="77" t="n"/>
      <c r="AC51" s="62" t="n"/>
    </row>
    <row r="52" ht="23.85" customHeight="1" s="57">
      <c r="A52" s="85" t="inlineStr">
        <is>
          <t>TRF-10</t>
        </is>
      </c>
      <c r="B52" s="86" t="inlineStr">
        <is>
          <t>Football Turf</t>
        </is>
      </c>
      <c r="C52" s="87" t="n"/>
      <c r="D52" s="86" t="n"/>
      <c r="E52" s="86" t="n"/>
      <c r="F52" s="88" t="n"/>
      <c r="G52" s="89" t="n"/>
      <c r="H52" s="90" t="n"/>
      <c r="I52" s="91" t="n"/>
      <c r="J52" s="86" t="n"/>
      <c r="K52" s="86" t="n"/>
      <c r="L52" s="92" t="n"/>
      <c r="M52" s="92" t="n"/>
      <c r="N52" s="86" t="n"/>
      <c r="O52" s="92" t="n"/>
      <c r="P52" s="92" t="n"/>
      <c r="Q52" s="92" t="n"/>
      <c r="R52" s="93">
        <f>IF(B52="","",IFERROR(INDEX(Lists!$B$2:$B$6,MATCH(B52,Lists!$A$2:$A$6,0)),""))</f>
        <v/>
      </c>
      <c r="S52" s="92" t="n"/>
      <c r="T52" s="87" t="n"/>
      <c r="U52" s="85">
        <f>IF(C52="","",IF((L52="")+(M52="")+(O52="")+(P52="")+(Q52="")+(S52="")+(T52="")=0,"Complete",(L52="")+(M52="")+(O52="")+(P52="")+(Q52="")+(S52="")+(T52="")&amp;" missing"))</f>
        <v/>
      </c>
      <c r="V52" s="92" t="n"/>
      <c r="W52" s="86" t="n"/>
      <c r="X52" s="92" t="n"/>
      <c r="Y52" s="94">
        <f>IF(C52="","",IF(L52="None",Lists!$M$2,IF(OR(L52="Broken",L52="Outdated / Poor"),Lists!$M$3,IF(L52="Basic",Lists!$M$4,0)))+IF(N(H52)&gt;=Lists!$M$12,Lists!$M$5,0)+IF(N(G52)&gt;=Lists!$M$13,Lists!$M$6,0)+IF(Q52="No",Lists!$M$7,0)+IF(O52="Active",Lists!$M$8,0)+IF(P52="Yes",Lists!$M$9,0)+IF(V52="Yes",Lists!$M$10,0)+IF(X52="Yes",Lists!$M$11,0))</f>
        <v/>
      </c>
      <c r="Z52" s="94">
        <f>IF(C52="","",IF(U52&lt;&gt;"Complete","Audit pending",IF(Y52&gt;=Lists!$M$14,"Hot",IF(Y52&gt;=Lists!$M$15,"Warm","Cold"))))</f>
        <v/>
      </c>
      <c r="AA52" s="92" t="n"/>
      <c r="AB52" s="86" t="n"/>
      <c r="AC52" s="87" t="n"/>
    </row>
  </sheetData>
  <autoFilter ref="A2:AC52"/>
  <mergeCells count="3">
    <mergeCell ref="A1:J1"/>
    <mergeCell ref="K1:U1"/>
    <mergeCell ref="V1:AC1"/>
  </mergeCells>
  <conditionalFormatting sqref="D3:D52">
    <cfRule type="expression" rank="0" priority="2" equalAverage="0" aboveAverage="0" dxfId="6" text="" percent="0" bottom="0">
      <formula>AND($C3&lt;&gt;"",D3="")</formula>
    </cfRule>
  </conditionalFormatting>
  <conditionalFormatting sqref="E3:E52">
    <cfRule type="expression" rank="0" priority="3" equalAverage="0" aboveAverage="0" dxfId="6" text="" percent="0" bottom="0">
      <formula>AND($C3&lt;&gt;"",E3="")</formula>
    </cfRule>
  </conditionalFormatting>
  <conditionalFormatting sqref="F3:F52">
    <cfRule type="expression" rank="0" priority="4" equalAverage="0" aboveAverage="0" dxfId="6" text="" percent="0" bottom="0">
      <formula>AND($C3&lt;&gt;"",F3="")</formula>
    </cfRule>
  </conditionalFormatting>
  <conditionalFormatting sqref="G3:G52">
    <cfRule type="expression" rank="0" priority="5" equalAverage="0" aboveAverage="0" dxfId="6" text="" percent="0" bottom="0">
      <formula>AND($C3&lt;&gt;"",G3="")</formula>
    </cfRule>
  </conditionalFormatting>
  <conditionalFormatting sqref="H3:H52">
    <cfRule type="expression" rank="0" priority="6" equalAverage="0" aboveAverage="0" dxfId="6" text="" percent="0" bottom="0">
      <formula>AND($C3&lt;&gt;"",H3="")</formula>
    </cfRule>
  </conditionalFormatting>
  <conditionalFormatting sqref="L3:L52">
    <cfRule type="expression" rank="0" priority="7" equalAverage="0" aboveAverage="0" dxfId="6" text="" percent="0" bottom="0">
      <formula>AND($C3&lt;&gt;"",L3="")</formula>
    </cfRule>
  </conditionalFormatting>
  <conditionalFormatting sqref="M3:M52">
    <cfRule type="expression" rank="0" priority="8" equalAverage="0" aboveAverage="0" dxfId="6" text="" percent="0" bottom="0">
      <formula>AND($C3&lt;&gt;"",M3="")</formula>
    </cfRule>
  </conditionalFormatting>
  <conditionalFormatting sqref="O3:O52">
    <cfRule type="expression" rank="0" priority="9" equalAverage="0" aboveAverage="0" dxfId="6" text="" percent="0" bottom="0">
      <formula>AND($C3&lt;&gt;"",O3="")</formula>
    </cfRule>
  </conditionalFormatting>
  <conditionalFormatting sqref="P3:P52">
    <cfRule type="expression" rank="0" priority="10" equalAverage="0" aboveAverage="0" dxfId="6" text="" percent="0" bottom="0">
      <formula>AND($C3&lt;&gt;"",P3="")</formula>
    </cfRule>
  </conditionalFormatting>
  <conditionalFormatting sqref="Q3:Q52">
    <cfRule type="expression" rank="0" priority="11" equalAverage="0" aboveAverage="0" dxfId="6" text="" percent="0" bottom="0">
      <formula>AND($C3&lt;&gt;"",Q3="")</formula>
    </cfRule>
  </conditionalFormatting>
  <conditionalFormatting sqref="S3:S52">
    <cfRule type="expression" rank="0" priority="12" equalAverage="0" aboveAverage="0" dxfId="6" text="" percent="0" bottom="0">
      <formula>AND($C3&lt;&gt;"",S3="")</formula>
    </cfRule>
  </conditionalFormatting>
  <conditionalFormatting sqref="T3:T52">
    <cfRule type="expression" rank="0" priority="13" equalAverage="0" aboveAverage="0" dxfId="6" text="" percent="0" bottom="0">
      <formula>AND($C3&lt;&gt;"",T3="")</formula>
    </cfRule>
  </conditionalFormatting>
  <conditionalFormatting sqref="V3:V52">
    <cfRule type="expression" rank="0" priority="14" equalAverage="0" aboveAverage="0" dxfId="6" text="" percent="0" bottom="0">
      <formula>AND($C3&lt;&gt;"",V3="")</formula>
    </cfRule>
  </conditionalFormatting>
  <conditionalFormatting sqref="X3:X52">
    <cfRule type="expression" rank="0" priority="15" equalAverage="0" aboveAverage="0" dxfId="6" text="" percent="0" bottom="0">
      <formula>AND($C3&lt;&gt;"",X3="")</formula>
    </cfRule>
  </conditionalFormatting>
  <conditionalFormatting sqref="AA3:AA52">
    <cfRule type="expression" rank="0" priority="16" equalAverage="0" aboveAverage="0" dxfId="6" text="" percent="0" bottom="0">
      <formula>AND($C3&lt;&gt;"",AA3="")</formula>
    </cfRule>
    <cfRule type="cellIs" rank="0" priority="17" equalAverage="0" operator="equal" aboveAverage="0" dxfId="7" text="" percent="0" bottom="0">
      <formula>"Qualified"</formula>
    </cfRule>
    <cfRule type="cellIs" rank="0" priority="18" equalAverage="0" operator="equal" aboveAverage="0" dxfId="8" text="" percent="0" bottom="0">
      <formula>"Disqualified"</formula>
    </cfRule>
  </conditionalFormatting>
  <conditionalFormatting sqref="AB3:AB52">
    <cfRule type="expression" rank="0" priority="19" equalAverage="0" aboveAverage="0" dxfId="6" text="" percent="0" bottom="0">
      <formula>AND($AA3="Disqualified",AB3="")</formula>
    </cfRule>
  </conditionalFormatting>
  <conditionalFormatting sqref="Z3:Z52">
    <cfRule type="cellIs" rank="0" priority="20" equalAverage="0" operator="equal" aboveAverage="0" dxfId="9" text="" percent="0" bottom="0">
      <formula>"Hot"</formula>
    </cfRule>
    <cfRule type="cellIs" rank="0" priority="21" equalAverage="0" operator="equal" aboveAverage="0" dxfId="10" text="" percent="0" bottom="0">
      <formula>"Warm"</formula>
    </cfRule>
    <cfRule type="cellIs" rank="0" priority="22" equalAverage="0" operator="equal" aboveAverage="0" dxfId="11" text="" percent="0" bottom="0">
      <formula>"Cold"</formula>
    </cfRule>
    <cfRule type="cellIs" rank="0" priority="23" equalAverage="0" operator="equal" aboveAverage="0" dxfId="12" text="" percent="0" bottom="0">
      <formula>"Audit pending"</formula>
    </cfRule>
  </conditionalFormatting>
  <conditionalFormatting sqref="U3:U52">
    <cfRule type="cellIs" rank="0" priority="24" equalAverage="0" operator="equal" aboveAverage="0" dxfId="13" text="" percent="0" bottom="0">
      <formula>"Complete"</formula>
    </cfRule>
    <cfRule type="expression" rank="0" priority="25" equalAverage="0" aboveAverage="0" dxfId="14" text="" percent="0" bottom="0">
      <formula>ISNUMBER(SEARCH("missing",U3))</formula>
    </cfRule>
  </conditionalFormatting>
  <conditionalFormatting sqref="Y3:Y52">
    <cfRule type="dataBar" priority="26">
      <dataBar minLength="10" maxLength="90" showValue="1">
        <cfvo type="num" val="0"/>
        <cfvo type="num" val="10"/>
        <color rgb="FF70AD47"/>
      </dataBar>
    </cfRule>
  </conditionalFormatting>
  <dataValidations count="14">
    <dataValidation sqref="B3:B52" showDropDown="0" showInputMessage="0" showErrorMessage="1" allowBlank="0" errorTitle="Invalid entry" error="Please pick a value from the dropdown." type="list" errorStyle="stop" operator="between">
      <formula1>Lists!$A$2:$A$6</formula1>
      <formula2>0</formula2>
    </dataValidation>
    <dataValidation sqref="L3:L52" showDropDown="0" showInputMessage="0" showErrorMessage="1" allowBlank="0" errorTitle="Invalid entry" error="Please pick a value from the dropdown." type="list" errorStyle="stop" operator="between">
      <formula1>Lists!$C$2:$C$6</formula1>
      <formula2>0</formula2>
    </dataValidation>
    <dataValidation sqref="M3:M52" showDropDown="0" showInputMessage="0" showErrorMessage="1" allowBlank="0" errorTitle="Invalid entry" error="Please pick a value from the dropdown." type="list" errorStyle="stop" operator="between">
      <formula1>Lists!$D$2:$D$5</formula1>
      <formula2>0</formula2>
    </dataValidation>
    <dataValidation sqref="O3:O52" showDropDown="0" showInputMessage="0" showErrorMessage="1" allowBlank="0" errorTitle="Invalid entry" error="Please pick a value from the dropdown." type="list" errorStyle="stop" operator="between">
      <formula1>Lists!$E$2:$E$4</formula1>
      <formula2>0</formula2>
    </dataValidation>
    <dataValidation sqref="P3:P52" showDropDown="0" showInputMessage="0" showErrorMessage="1" allowBlank="0" errorTitle="Invalid entry" error="Please pick a value from the dropdown." type="list" errorStyle="stop" operator="between">
      <formula1>Lists!$F$2:$F$3</formula1>
      <formula2>0</formula2>
    </dataValidation>
    <dataValidation sqref="Q3:Q52" showDropDown="0" showInputMessage="0" showErrorMessage="1" allowBlank="0" errorTitle="Invalid entry" error="Please pick a value from the dropdown." type="list" errorStyle="stop" operator="between">
      <formula1>Lists!$F$2:$F$3</formula1>
      <formula2>0</formula2>
    </dataValidation>
    <dataValidation sqref="S3:S52" showDropDown="0" showInputMessage="0" showErrorMessage="1" allowBlank="0" errorTitle="Invalid entry" error="Please pick a value from the dropdown." type="list" errorStyle="stop" operator="between">
      <formula1>Lists!$G$2:$G$4</formula1>
      <formula2>0</formula2>
    </dataValidation>
    <dataValidation sqref="V3:V52" showDropDown="0" showInputMessage="0" showErrorMessage="1" allowBlank="0" errorTitle="Invalid entry" error="Please pick a value from the dropdown." type="list" errorStyle="stop" operator="between">
      <formula1>Lists!$F$2:$F$3</formula1>
      <formula2>0</formula2>
    </dataValidation>
    <dataValidation sqref="X3:X52" showDropDown="0" showInputMessage="0" showErrorMessage="1" allowBlank="0" errorTitle="Invalid entry" error="Please pick a value from the dropdown." type="list" errorStyle="stop" operator="between">
      <formula1>Lists!$H$2:$H$4</formula1>
      <formula2>0</formula2>
    </dataValidation>
    <dataValidation sqref="AA3:AA52" showDropDown="0" showInputMessage="0" showErrorMessage="1" allowBlank="0" errorTitle="Invalid entry" error="Please pick a value from the dropdown." type="list" errorStyle="stop" operator="between">
      <formula1>Lists!$I$2:$I$5</formula1>
      <formula2>0</formula2>
    </dataValidation>
    <dataValidation sqref="AB3:AB52" showDropDown="0" showInputMessage="0" showErrorMessage="1" allowBlank="0" errorTitle="Invalid entry" error="Please pick a value from the dropdown." type="list" errorStyle="stop" operator="between">
      <formula1>Lists!$J$2:$J$7</formula1>
      <formula2>0</formula2>
    </dataValidation>
    <dataValidation sqref="G3:G52" showDropDown="0" showInputMessage="0" showErrorMessage="1" allowBlank="0" error="Rating must be between 1.0 and 5.0" type="decimal" errorStyle="stop" operator="between">
      <formula1>1</formula1>
      <formula2>5</formula2>
    </dataValidation>
    <dataValidation sqref="H3:H52" showDropDown="0" showInputMessage="0" showErrorMessage="1" allowBlank="0" error="Enter the review count as a whole number." type="whole" errorStyle="stop" operator="greaterThanOrEqual">
      <formula1>0</formula1>
      <formula2>0</formula2>
    </dataValidation>
    <dataValidation sqref="I3:I52" showDropDown="0" showInputMessage="0" showErrorMessage="1" allowBlank="0" error="Enter a valid date." type="date" errorStyle="stop" operator="greaterThan">
      <formula1>44927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A1:L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56" min="1" max="1"/>
    <col width="11" customWidth="1" style="56" min="2" max="11"/>
    <col width="13" customWidth="1" style="56" min="12" max="12"/>
  </cols>
  <sheetData>
    <row r="1" ht="17.35" customHeight="1" s="57">
      <c r="A1" s="95" t="inlineStr">
        <is>
          <t>Lead Pipeline Dashboard</t>
        </is>
      </c>
    </row>
    <row r="2" ht="15" customHeight="1" s="57">
      <c r="A2" s="96" t="inlineStr">
        <is>
          <t>Updates automatically from the Leads sheet. Target: 10 researched, audited and scored leads per niche.</t>
        </is>
      </c>
    </row>
    <row r="4" ht="31.5" customHeight="1" s="57">
      <c r="A4" s="97" t="inlineStr">
        <is>
          <t>Niche</t>
        </is>
      </c>
      <c r="B4" s="97" t="inlineStr">
        <is>
          <t>Target</t>
        </is>
      </c>
      <c r="C4" s="97" t="inlineStr">
        <is>
          <t>Captured</t>
        </is>
      </c>
      <c r="D4" s="97" t="inlineStr">
        <is>
          <t>% of Target</t>
        </is>
      </c>
      <c r="E4" s="97" t="inlineStr">
        <is>
          <t>Audit Complete</t>
        </is>
      </c>
      <c r="F4" s="97" t="inlineStr">
        <is>
          <t>Hot</t>
        </is>
      </c>
      <c r="G4" s="97" t="inlineStr">
        <is>
          <t>Warm</t>
        </is>
      </c>
      <c r="H4" s="97" t="inlineStr">
        <is>
          <t>Cold</t>
        </is>
      </c>
      <c r="I4" s="97" t="inlineStr">
        <is>
          <t>Qualified</t>
        </is>
      </c>
      <c r="J4" s="97" t="inlineStr">
        <is>
          <t>Disqualified</t>
        </is>
      </c>
      <c r="K4" s="97" t="inlineStr">
        <is>
          <t>No Website</t>
        </is>
      </c>
      <c r="L4" s="97" t="inlineStr">
        <is>
          <t>Avg Score (audited)</t>
        </is>
      </c>
    </row>
    <row r="5" ht="15" customHeight="1" s="57">
      <c r="A5" s="98" t="inlineStr">
        <is>
          <t>Salon / Beauty Parlour</t>
        </is>
      </c>
      <c r="B5" s="99" t="n">
        <v>10</v>
      </c>
      <c r="C5" s="100">
        <f>COUNTIFS(Leads!$B$3:$B$52,$A5,Leads!$C$3:$C$52,"&lt;&gt;")</f>
        <v/>
      </c>
      <c r="D5" s="101">
        <f>IF(B5=0,0,C5/B5)</f>
        <v/>
      </c>
      <c r="E5" s="100">
        <f>COUNTIFS(Leads!$B$3:$B$52,$A5,Leads!$U$3:$U$52,"Complete")</f>
        <v/>
      </c>
      <c r="F5" s="100">
        <f>COUNTIFS(Leads!$B$3:$B$52,$A5,Leads!$Z$3:$Z$52,"Hot")</f>
        <v/>
      </c>
      <c r="G5" s="100">
        <f>COUNTIFS(Leads!$B$3:$B$52,$A5,Leads!$Z$3:$Z$52,"Warm")</f>
        <v/>
      </c>
      <c r="H5" s="100">
        <f>COUNTIFS(Leads!$B$3:$B$52,$A5,Leads!$Z$3:$Z$52,"Cold")</f>
        <v/>
      </c>
      <c r="I5" s="100">
        <f>COUNTIFS(Leads!$B$3:$B$52,$A5,Leads!$AA$3:$AA$52,"Qualified")</f>
        <v/>
      </c>
      <c r="J5" s="100">
        <f>COUNTIFS(Leads!$B$3:$B$52,$A5,Leads!$AA$3:$AA$52,"Disqualified")</f>
        <v/>
      </c>
      <c r="K5" s="100">
        <f>COUNTIFS(Leads!$B$3:$B$52,$A5,Leads!$L$3:$L$52,"None")</f>
        <v/>
      </c>
      <c r="L5" s="102">
        <f>IFERROR(AVERAGEIFS(Leads!$Y$3:$Y$52,Leads!$B$3:$B$52,$A5,Leads!$U$3:$U$52,"Complete"),0)</f>
        <v/>
      </c>
    </row>
    <row r="6" ht="15" customHeight="1" s="57">
      <c r="A6" s="98" t="inlineStr">
        <is>
          <t>Dental Clinic</t>
        </is>
      </c>
      <c r="B6" s="99" t="n">
        <v>10</v>
      </c>
      <c r="C6" s="100">
        <f>COUNTIFS(Leads!$B$3:$B$52,$A6,Leads!$C$3:$C$52,"&lt;&gt;")</f>
        <v/>
      </c>
      <c r="D6" s="101">
        <f>IF(B6=0,0,C6/B6)</f>
        <v/>
      </c>
      <c r="E6" s="100">
        <f>COUNTIFS(Leads!$B$3:$B$52,$A6,Leads!$U$3:$U$52,"Complete")</f>
        <v/>
      </c>
      <c r="F6" s="100">
        <f>COUNTIFS(Leads!$B$3:$B$52,$A6,Leads!$Z$3:$Z$52,"Hot")</f>
        <v/>
      </c>
      <c r="G6" s="100">
        <f>COUNTIFS(Leads!$B$3:$B$52,$A6,Leads!$Z$3:$Z$52,"Warm")</f>
        <v/>
      </c>
      <c r="H6" s="100">
        <f>COUNTIFS(Leads!$B$3:$B$52,$A6,Leads!$Z$3:$Z$52,"Cold")</f>
        <v/>
      </c>
      <c r="I6" s="100">
        <f>COUNTIFS(Leads!$B$3:$B$52,$A6,Leads!$AA$3:$AA$52,"Qualified")</f>
        <v/>
      </c>
      <c r="J6" s="100">
        <f>COUNTIFS(Leads!$B$3:$B$52,$A6,Leads!$AA$3:$AA$52,"Disqualified")</f>
        <v/>
      </c>
      <c r="K6" s="100">
        <f>COUNTIFS(Leads!$B$3:$B$52,$A6,Leads!$L$3:$L$52,"None")</f>
        <v/>
      </c>
      <c r="L6" s="102">
        <f>IFERROR(AVERAGEIFS(Leads!$Y$3:$Y$52,Leads!$B$3:$B$52,$A6,Leads!$U$3:$U$52,"Complete"),0)</f>
        <v/>
      </c>
    </row>
    <row r="7" ht="15" customHeight="1" s="57">
      <c r="A7" s="98" t="inlineStr">
        <is>
          <t>Gym / Fitness Studio</t>
        </is>
      </c>
      <c r="B7" s="99" t="n">
        <v>10</v>
      </c>
      <c r="C7" s="100">
        <f>COUNTIFS(Leads!$B$3:$B$52,$A7,Leads!$C$3:$C$52,"&lt;&gt;")</f>
        <v/>
      </c>
      <c r="D7" s="101">
        <f>IF(B7=0,0,C7/B7)</f>
        <v/>
      </c>
      <c r="E7" s="100">
        <f>COUNTIFS(Leads!$B$3:$B$52,$A7,Leads!$U$3:$U$52,"Complete")</f>
        <v/>
      </c>
      <c r="F7" s="100">
        <f>COUNTIFS(Leads!$B$3:$B$52,$A7,Leads!$Z$3:$Z$52,"Hot")</f>
        <v/>
      </c>
      <c r="G7" s="100">
        <f>COUNTIFS(Leads!$B$3:$B$52,$A7,Leads!$Z$3:$Z$52,"Warm")</f>
        <v/>
      </c>
      <c r="H7" s="100">
        <f>COUNTIFS(Leads!$B$3:$B$52,$A7,Leads!$Z$3:$Z$52,"Cold")</f>
        <v/>
      </c>
      <c r="I7" s="100">
        <f>COUNTIFS(Leads!$B$3:$B$52,$A7,Leads!$AA$3:$AA$52,"Qualified")</f>
        <v/>
      </c>
      <c r="J7" s="100">
        <f>COUNTIFS(Leads!$B$3:$B$52,$A7,Leads!$AA$3:$AA$52,"Disqualified")</f>
        <v/>
      </c>
      <c r="K7" s="100">
        <f>COUNTIFS(Leads!$B$3:$B$52,$A7,Leads!$L$3:$L$52,"None")</f>
        <v/>
      </c>
      <c r="L7" s="102">
        <f>IFERROR(AVERAGEIFS(Leads!$Y$3:$Y$52,Leads!$B$3:$B$52,$A7,Leads!$U$3:$U$52,"Complete"),0)</f>
        <v/>
      </c>
    </row>
    <row r="8" ht="15" customHeight="1" s="57">
      <c r="A8" s="98" t="inlineStr">
        <is>
          <t>Restaurant / Cafe</t>
        </is>
      </c>
      <c r="B8" s="99" t="n">
        <v>10</v>
      </c>
      <c r="C8" s="100">
        <f>COUNTIFS(Leads!$B$3:$B$52,$A8,Leads!$C$3:$C$52,"&lt;&gt;")</f>
        <v/>
      </c>
      <c r="D8" s="101">
        <f>IF(B8=0,0,C8/B8)</f>
        <v/>
      </c>
      <c r="E8" s="100">
        <f>COUNTIFS(Leads!$B$3:$B$52,$A8,Leads!$U$3:$U$52,"Complete")</f>
        <v/>
      </c>
      <c r="F8" s="100">
        <f>COUNTIFS(Leads!$B$3:$B$52,$A8,Leads!$Z$3:$Z$52,"Hot")</f>
        <v/>
      </c>
      <c r="G8" s="100">
        <f>COUNTIFS(Leads!$B$3:$B$52,$A8,Leads!$Z$3:$Z$52,"Warm")</f>
        <v/>
      </c>
      <c r="H8" s="100">
        <f>COUNTIFS(Leads!$B$3:$B$52,$A8,Leads!$Z$3:$Z$52,"Cold")</f>
        <v/>
      </c>
      <c r="I8" s="100">
        <f>COUNTIFS(Leads!$B$3:$B$52,$A8,Leads!$AA$3:$AA$52,"Qualified")</f>
        <v/>
      </c>
      <c r="J8" s="100">
        <f>COUNTIFS(Leads!$B$3:$B$52,$A8,Leads!$AA$3:$AA$52,"Disqualified")</f>
        <v/>
      </c>
      <c r="K8" s="100">
        <f>COUNTIFS(Leads!$B$3:$B$52,$A8,Leads!$L$3:$L$52,"None")</f>
        <v/>
      </c>
      <c r="L8" s="102">
        <f>IFERROR(AVERAGEIFS(Leads!$Y$3:$Y$52,Leads!$B$3:$B$52,$A8,Leads!$U$3:$U$52,"Complete"),0)</f>
        <v/>
      </c>
    </row>
    <row r="9" ht="15" customHeight="1" s="57">
      <c r="A9" s="98" t="inlineStr">
        <is>
          <t>Football Turf</t>
        </is>
      </c>
      <c r="B9" s="99" t="n">
        <v>10</v>
      </c>
      <c r="C9" s="100">
        <f>COUNTIFS(Leads!$B$3:$B$52,$A9,Leads!$C$3:$C$52,"&lt;&gt;")</f>
        <v/>
      </c>
      <c r="D9" s="101">
        <f>IF(B9=0,0,C9/B9)</f>
        <v/>
      </c>
      <c r="E9" s="100">
        <f>COUNTIFS(Leads!$B$3:$B$52,$A9,Leads!$U$3:$U$52,"Complete")</f>
        <v/>
      </c>
      <c r="F9" s="100">
        <f>COUNTIFS(Leads!$B$3:$B$52,$A9,Leads!$Z$3:$Z$52,"Hot")</f>
        <v/>
      </c>
      <c r="G9" s="100">
        <f>COUNTIFS(Leads!$B$3:$B$52,$A9,Leads!$Z$3:$Z$52,"Warm")</f>
        <v/>
      </c>
      <c r="H9" s="100">
        <f>COUNTIFS(Leads!$B$3:$B$52,$A9,Leads!$Z$3:$Z$52,"Cold")</f>
        <v/>
      </c>
      <c r="I9" s="100">
        <f>COUNTIFS(Leads!$B$3:$B$52,$A9,Leads!$AA$3:$AA$52,"Qualified")</f>
        <v/>
      </c>
      <c r="J9" s="100">
        <f>COUNTIFS(Leads!$B$3:$B$52,$A9,Leads!$AA$3:$AA$52,"Disqualified")</f>
        <v/>
      </c>
      <c r="K9" s="100">
        <f>COUNTIFS(Leads!$B$3:$B$52,$A9,Leads!$L$3:$L$52,"None")</f>
        <v/>
      </c>
      <c r="L9" s="102">
        <f>IFERROR(AVERAGEIFS(Leads!$Y$3:$Y$52,Leads!$B$3:$B$52,$A9,Leads!$U$3:$U$52,"Complete"),0)</f>
        <v/>
      </c>
    </row>
    <row r="10" ht="15" customHeight="1" s="57">
      <c r="A10" s="103" t="inlineStr">
        <is>
          <t>TOTAL</t>
        </is>
      </c>
      <c r="B10" s="104">
        <f>SUM(B5:B9)</f>
        <v/>
      </c>
      <c r="C10" s="105">
        <f>SUM(C5:C9)</f>
        <v/>
      </c>
      <c r="D10" s="106">
        <f>IF(B10=0,0,C10/B10)</f>
        <v/>
      </c>
      <c r="E10" s="105">
        <f>SUM(E5:E9)</f>
        <v/>
      </c>
      <c r="F10" s="105">
        <f>SUM(F5:F9)</f>
        <v/>
      </c>
      <c r="G10" s="105">
        <f>SUM(G5:G9)</f>
        <v/>
      </c>
      <c r="H10" s="105">
        <f>SUM(H5:H9)</f>
        <v/>
      </c>
      <c r="I10" s="105">
        <f>SUM(I5:I9)</f>
        <v/>
      </c>
      <c r="J10" s="105">
        <f>SUM(J5:J9)</f>
        <v/>
      </c>
      <c r="K10" s="105">
        <f>SUM(K5:K9)</f>
        <v/>
      </c>
      <c r="L10" s="107">
        <f>IFERROR(AVERAGEIFS(Leads!$Y$3:$Y$52,Leads!$U$3:$U$52,"Complete"),0)</f>
        <v/>
      </c>
    </row>
    <row r="12" ht="15" customHeight="1" s="57">
      <c r="A12" s="108" t="inlineStr">
        <is>
          <t>Blue 'Target' cells are editable. To see your best leads: on the Leads sheet, filter Priority = Hot and sort Opportunity Score largest to smallest.</t>
        </is>
      </c>
    </row>
  </sheetData>
  <conditionalFormatting sqref="D5:D10">
    <cfRule type="dataBar" priority="2">
      <dataBar minLength="10" maxLength="90" showValue="1">
        <cfvo type="num" val="0"/>
        <cfvo type="num" val="1"/>
        <color rgb="FF5B9BD5"/>
      </dataBar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BFBFBF"/>
    <outlinePr summaryBelow="1" summaryRight="1"/>
    <pageSetUpPr fitToPage="0"/>
  </sheetPr>
  <dimension ref="A1:M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56" min="1" max="1"/>
    <col width="58" customWidth="1" style="56" min="2" max="2"/>
    <col width="26" customWidth="1" style="56" min="3" max="10"/>
    <col width="3" customWidth="1" style="56" min="11" max="11"/>
    <col width="40" customWidth="1" style="56" min="12" max="12"/>
    <col width="10" customWidth="1" style="56" min="13" max="13"/>
  </cols>
  <sheetData>
    <row r="1" ht="30" customHeight="1" s="57">
      <c r="A1" s="109" t="inlineStr">
        <is>
          <t>Niche</t>
        </is>
      </c>
      <c r="B1" s="109" t="inlineStr">
        <is>
          <t>Niche Must-Have (what to check)</t>
        </is>
      </c>
      <c r="C1" s="109" t="inlineStr">
        <is>
          <t>Website Status</t>
        </is>
      </c>
      <c r="D1" s="109" t="inlineStr">
        <is>
          <t>Mobile Friendly</t>
        </is>
      </c>
      <c r="E1" s="109" t="inlineStr">
        <is>
          <t>Instagram Activity</t>
        </is>
      </c>
      <c r="F1" s="109" t="inlineStr">
        <is>
          <t>Yes / No</t>
        </is>
      </c>
      <c r="G1" s="109" t="inlineStr">
        <is>
          <t>Must-Have Present</t>
        </is>
      </c>
      <c r="H1" s="109" t="inlineStr">
        <is>
          <t>Reachable</t>
        </is>
      </c>
      <c r="I1" s="109" t="inlineStr">
        <is>
          <t>Stage</t>
        </is>
      </c>
      <c r="J1" s="109" t="inlineStr">
        <is>
          <t>Disqualify Reason</t>
        </is>
      </c>
      <c r="L1" s="109" t="inlineStr">
        <is>
          <t>Scoring rule</t>
        </is>
      </c>
      <c r="M1" s="109" t="inlineStr">
        <is>
          <t>Points</t>
        </is>
      </c>
    </row>
    <row r="2" ht="15" customHeight="1" s="57">
      <c r="A2" s="110" t="inlineStr">
        <is>
          <t>Salon / Beauty Parlour</t>
        </is>
      </c>
      <c r="B2" s="110" t="inlineStr">
        <is>
          <t>Service menu with prices + online appointment booking</t>
        </is>
      </c>
      <c r="C2" s="110" t="inlineStr">
        <is>
          <t>None</t>
        </is>
      </c>
      <c r="D2" s="110" t="inlineStr">
        <is>
          <t>Yes</t>
        </is>
      </c>
      <c r="E2" s="110" t="inlineStr">
        <is>
          <t>Active</t>
        </is>
      </c>
      <c r="F2" s="110" t="inlineStr">
        <is>
          <t>Yes</t>
        </is>
      </c>
      <c r="G2" s="110" t="inlineStr">
        <is>
          <t>Yes</t>
        </is>
      </c>
      <c r="H2" s="110" t="inlineStr">
        <is>
          <t>Yes</t>
        </is>
      </c>
      <c r="I2" s="110" t="inlineStr">
        <is>
          <t>New</t>
        </is>
      </c>
      <c r="J2" s="110" t="inlineStr">
        <is>
          <t>Website already good</t>
        </is>
      </c>
      <c r="L2" s="110" t="inlineStr">
        <is>
          <t>Website: None</t>
        </is>
      </c>
      <c r="M2" s="111" t="n">
        <v>3</v>
      </c>
    </row>
    <row r="3" ht="15" customHeight="1" s="57">
      <c r="A3" s="110" t="inlineStr">
        <is>
          <t>Dental Clinic</t>
        </is>
      </c>
      <c r="B3" s="110" t="inlineStr">
        <is>
          <t>Treatment pages + doctor profile + appointment booking</t>
        </is>
      </c>
      <c r="C3" s="110" t="inlineStr">
        <is>
          <t>Broken</t>
        </is>
      </c>
      <c r="D3" s="110" t="inlineStr">
        <is>
          <t>Partly</t>
        </is>
      </c>
      <c r="E3" s="110" t="inlineStr">
        <is>
          <t>Inactive</t>
        </is>
      </c>
      <c r="F3" s="110" t="inlineStr">
        <is>
          <t>No</t>
        </is>
      </c>
      <c r="G3" s="110" t="inlineStr">
        <is>
          <t>Partly</t>
        </is>
      </c>
      <c r="H3" s="110" t="inlineStr">
        <is>
          <t>Unknown</t>
        </is>
      </c>
      <c r="I3" s="110" t="inlineStr">
        <is>
          <t>Audited</t>
        </is>
      </c>
      <c r="J3" s="110" t="inlineStr">
        <is>
          <t>Permanently closed</t>
        </is>
      </c>
      <c r="L3" s="110" t="inlineStr">
        <is>
          <t>Website: Broken or Outdated / Poor</t>
        </is>
      </c>
      <c r="M3" s="111" t="n">
        <v>2</v>
      </c>
    </row>
    <row r="4" ht="15" customHeight="1" s="57">
      <c r="A4" s="110" t="inlineStr">
        <is>
          <t>Gym / Fitness Studio</t>
        </is>
      </c>
      <c r="B4" s="110" t="inlineStr">
        <is>
          <t>Membership plans + free-trial booking + trainer profiles</t>
        </is>
      </c>
      <c r="C4" s="110" t="inlineStr">
        <is>
          <t>Outdated / Poor</t>
        </is>
      </c>
      <c r="D4" s="110" t="inlineStr">
        <is>
          <t>No</t>
        </is>
      </c>
      <c r="E4" s="110" t="inlineStr">
        <is>
          <t>None</t>
        </is>
      </c>
      <c r="G4" s="110" t="inlineStr">
        <is>
          <t>No</t>
        </is>
      </c>
      <c r="H4" s="110" t="inlineStr">
        <is>
          <t>No</t>
        </is>
      </c>
      <c r="I4" s="110" t="inlineStr">
        <is>
          <t>Qualified</t>
        </is>
      </c>
      <c r="J4" s="110" t="inlineStr">
        <is>
          <t>Chain / franchise (no owner access)</t>
        </is>
      </c>
      <c r="L4" s="110" t="inlineStr">
        <is>
          <t>Website: Basic</t>
        </is>
      </c>
      <c r="M4" s="111" t="n">
        <v>1</v>
      </c>
    </row>
    <row r="5" ht="15" customHeight="1" s="57">
      <c r="A5" s="110" t="inlineStr">
        <is>
          <t>Restaurant / Cafe</t>
        </is>
      </c>
      <c r="B5" s="110" t="inlineStr">
        <is>
          <t>Online menu + table booking / delivery links</t>
        </is>
      </c>
      <c r="C5" s="110" t="inlineStr">
        <is>
          <t>Basic</t>
        </is>
      </c>
      <c r="D5" s="110" t="inlineStr">
        <is>
          <t>No website</t>
        </is>
      </c>
      <c r="I5" s="110" t="inlineStr">
        <is>
          <t>Disqualified</t>
        </is>
      </c>
      <c r="J5" s="110" t="inlineStr">
        <is>
          <t>Low demand (few reviews)</t>
        </is>
      </c>
      <c r="L5" s="110" t="inlineStr">
        <is>
          <t>100+ Google reviews (real demand)</t>
        </is>
      </c>
      <c r="M5" s="111" t="n">
        <v>1</v>
      </c>
    </row>
    <row r="6" ht="15" customHeight="1" s="57">
      <c r="A6" s="110" t="inlineStr">
        <is>
          <t>Football Turf</t>
        </is>
      </c>
      <c r="B6" s="110" t="inlineStr">
        <is>
          <t>Hourly pricing + online slot booking + location / parking info</t>
        </is>
      </c>
      <c r="C6" s="110" t="inlineStr">
        <is>
          <t>Good</t>
        </is>
      </c>
      <c r="J6" s="110" t="inlineStr">
        <is>
          <t>Unreachable</t>
        </is>
      </c>
      <c r="L6" s="110" t="inlineStr">
        <is>
          <t>Rating 4.0 or higher (good reputation)</t>
        </is>
      </c>
      <c r="M6" s="111" t="n">
        <v>1</v>
      </c>
    </row>
    <row r="7" ht="15" customHeight="1" s="57">
      <c r="J7" s="110" t="inlineStr">
        <is>
          <t>Other (see notes)</t>
        </is>
      </c>
      <c r="L7" s="110" t="inlineStr">
        <is>
          <t>No online booking / enquiry path</t>
        </is>
      </c>
      <c r="M7" s="111" t="n">
        <v>1</v>
      </c>
    </row>
    <row r="8" ht="15" customHeight="1" s="57">
      <c r="L8" s="110" t="inlineStr">
        <is>
          <t>Active Instagram</t>
        </is>
      </c>
      <c r="M8" s="111" t="n">
        <v>1</v>
      </c>
    </row>
    <row r="9" ht="15" customHeight="1" s="57">
      <c r="L9" s="110" t="inlineStr">
        <is>
          <t>WhatsApp available</t>
        </is>
      </c>
      <c r="M9" s="111" t="n">
        <v>1</v>
      </c>
    </row>
    <row r="10" ht="15" customHeight="1" s="57">
      <c r="L10" s="110" t="inlineStr">
        <is>
          <t>High-ticket service</t>
        </is>
      </c>
      <c r="M10" s="111" t="n">
        <v>1</v>
      </c>
    </row>
    <row r="11" ht="15" customHeight="1" s="57">
      <c r="L11" s="110" t="inlineStr">
        <is>
          <t>Decision-maker reachable</t>
        </is>
      </c>
      <c r="M11" s="111" t="n">
        <v>1</v>
      </c>
    </row>
    <row r="12" ht="15" customHeight="1" s="57">
      <c r="L12" s="110" t="inlineStr">
        <is>
          <t>Review threshold (count)</t>
        </is>
      </c>
      <c r="M12" s="111" t="n">
        <v>100</v>
      </c>
    </row>
    <row r="13" ht="15" customHeight="1" s="57">
      <c r="L13" s="110" t="inlineStr">
        <is>
          <t>Rating threshold</t>
        </is>
      </c>
      <c r="M13" s="111" t="n">
        <v>4</v>
      </c>
    </row>
    <row r="14" ht="15" customHeight="1" s="57">
      <c r="L14" s="110" t="inlineStr">
        <is>
          <t>Hot if score at least</t>
        </is>
      </c>
      <c r="M14" s="111" t="n">
        <v>7</v>
      </c>
    </row>
    <row r="15" ht="15" customHeight="1" s="57">
      <c r="L15" s="110" t="inlineStr">
        <is>
          <t>Warm if score at least</t>
        </is>
      </c>
      <c r="M15" s="111" t="n">
        <v>5</v>
      </c>
    </row>
    <row r="17" ht="15" customHeight="1" s="57">
      <c r="L17" s="112" t="inlineStr">
        <is>
          <t>Blue values on yellow are editable assumptions. Source: adapted from the Lead Scoring System in your playbook (p.6), extended with rating and booking-gap points so the maximum is a true 10.</t>
        </is>
      </c>
    </row>
    <row r="18" ht="15" customHeight="1" s="57"/>
    <row r="19" ht="15" customHeight="1" s="57"/>
  </sheetData>
  <mergeCells count="1">
    <mergeCell ref="L17:M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2026-10-04T19:07:40Z</dcterms:created>
  <dcterms:modified xmlns:dcterms="http://purl.org/dc/terms/" xmlns:xsi="http://www.w3.org/2001/XMLSchema-instance" xsi:type="dcterms:W3CDTF">2026-10-04T20:50:15Z</dcterms:modified>
  <cp:revision>0</cp:revision>
</cp:coreProperties>
</file>